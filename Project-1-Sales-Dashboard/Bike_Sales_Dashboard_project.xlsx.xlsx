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8300" activeTab="5"/>
  </bookViews>
  <sheets>
    <sheet name="bike_buyers" sheetId="1" r:id="rId1"/>
    <sheet name="Working sheet" sheetId="2" state="hidden" r:id="rId2"/>
    <sheet name="Sheet1" sheetId="5" state="hidden" r:id="rId3"/>
    <sheet name="Sheet2" sheetId="6" state="hidden" r:id="rId4"/>
    <sheet name="Pivot table" sheetId="3" state="hidden" r:id="rId5"/>
    <sheet name="Dashboard" sheetId="4" r:id="rId6"/>
  </sheets>
  <definedNames>
    <definedName name="_xlnm._FilterDatabase" localSheetId="0" hidden="1">bike_buyers!$A$1:$M$1001</definedName>
    <definedName name="Slicer_Education">#N/A</definedName>
    <definedName name="Slicer_Home_Owner">#N/A</definedName>
    <definedName name="Slicer_Martial_Status">#N/A</definedName>
    <definedName name="Slicer_Region">#N/A</definedName>
  </definedNames>
  <calcPr calcId="162913"/>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<sst xmlns="http://schemas.openxmlformats.org/spreadsheetml/2006/main" count="20597" uniqueCount="52">
  <si>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</si>
  <si>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</si>
  <si>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</si>
  <si>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</si>
  <si>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</si>
  <si>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</si>
  <si>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</si>
  <si>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</si>
  <si>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</si>
  <si>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</si>
  <si>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</si>
  <si>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</si>
  <si>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</si>
  <si>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</si>
  <si>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</si>
  <si>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</si>
  <si>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</si>
  <si>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</si>
  <si>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</si>
  <si>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</si>
  <si>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</si>
  <si>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</si>
  <si>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</si>
  <si>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</si>
  <si>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</si>
  <si>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</si>
  <si>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</si>
  <si>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</si>
  <si>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</si>
  <si>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</si>
  <si>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</si>
  <si>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</si>
  <si>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</si>
  <si>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</si>
  <si>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</si>
  <si>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</si>
  <si>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</si>
  <si>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</si>
  <si>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</si>
  <si>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</si>
  <si>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Martial Status</t>
  </si>
  <si>
    <t>Column Labels</t>
  </si>
  <si>
    <t>Grand Total</t>
  </si>
  <si>
    <t>Average of Income</t>
  </si>
  <si>
    <t>10 + Miles</t>
  </si>
  <si>
    <t>Count of Purchased Bike</t>
  </si>
  <si>
    <t>Adolescent</t>
  </si>
  <si>
    <t>Middle Age</t>
  </si>
  <si>
    <t>Old Age</t>
  </si>
  <si>
    <t>Age Backet</t>
  </si>
  <si>
    <t>Age backet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</si>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</sst>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4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0" fontId="16" fillId="0" borderId="0" xfId="0" applyFont="1"/>
    <xf numFmtId="165" fontId="16" fillId="0" borderId="0" xfId="42" applyNumberFormat="1" applyFont="1"/>
    <xf numFmtId="165"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14" fillId="33" borderId="0" xfId="0" applyFont="1" applyFill="1" applyBorder="1" applyAlignment="1">
      <alignment horizontal="center" vertical="center"/>
    </xf>
    <xf numFmtId="165" fontId="0" fillId="0" borderId="0" xfId="0" applyNumberFormat="1"/>
    <xf numFmtId="0" fontId="19" fillId="33"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quot;$&quot;#,##0"/>
    </dxf>
    <dxf>
      <numFmt numFmtId="170" formatCode="&quot;$&quot;#,##0.0"/>
    </dxf>
    <dxf>
      <numFmt numFmtId="164" formatCode="&quot;$&quot;#,##0.00"/>
    </dxf>
    <dxf>
      <numFmt numFmtId="165" formatCode="&quot;$&quot;#,##0"/>
    </dxf>
    <dxf>
      <numFmt numFmtId="170" formatCode="&quot;$&quot;#,##0.0"/>
    </dxf>
    <dxf>
      <numFmt numFmtId="164" formatCode="&quot;$&quot;#,##0.00"/>
    </dxf>
    <dxf>
      <numFmt numFmtId="165" formatCode="&quot;$&quot;#,##0"/>
    </dxf>
    <dxf>
      <numFmt numFmtId="170" formatCode="&quot;$&quot;#,##0.0"/>
    </dxf>
    <dxf>
      <numFmt numFmtId="164" formatCode="&quot;$&quot;#,##0.00"/>
    </dxf>
    <dxf>
      <numFmt numFmtId="34" formatCode="_(&quot;$&quot;* #,##0.00_);_(&quot;$&quot;* \(#,##0.00\);_(&quot;$&quot;* &quot;-&quot;??_);_(@_)"/>
    </dxf>
    <dxf>
      <numFmt numFmtId="166" formatCode="_(* #,##0_);_(* \(#,##0\);_(* &quot;-&quot;??_);_(@_)"/>
    </dxf>
    <dxf>
      <numFmt numFmtId="167" formatCode="_(* #,##0.0_);_(* \(#,##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Income who purchased bike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rgbClr val="FF0000"/>
          </a:solidFill>
          <a:ln>
            <a:solidFill>
              <a:srgbClr val="FF0000"/>
            </a:solidFill>
          </a:ln>
          <a:effectLst/>
        </c:spPr>
        <c:marker>
          <c:symbol val="none"/>
        </c:marker>
      </c:pivotFmt>
      <c:pivotFmt>
        <c:idx val="3"/>
        <c:spPr>
          <a:solidFill>
            <a:srgbClr val="00B050"/>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rgbClr val="FF0000"/>
            </a:solidFill>
            <a:ln>
              <a:solidFill>
                <a:srgbClr val="FF0000"/>
              </a:solid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E86-4E7F-B866-32489ECACD73}"/>
            </c:ext>
          </c:extLst>
        </c:ser>
        <c:ser>
          <c:idx val="1"/>
          <c:order val="1"/>
          <c:tx>
            <c:strRef>
              <c:f>'Pivot table'!$C$1:$C$2</c:f>
              <c:strCache>
                <c:ptCount val="1"/>
                <c:pt idx="0">
                  <c:v>Yes</c:v>
                </c:pt>
              </c:strCache>
            </c:strRef>
          </c:tx>
          <c:spPr>
            <a:solidFill>
              <a:srgbClr val="00B050"/>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E86-4E7F-B866-32489ECACD73}"/>
            </c:ext>
          </c:extLst>
        </c:ser>
        <c:dLbls>
          <c:showLegendKey val="0"/>
          <c:showVal val="0"/>
          <c:showCatName val="0"/>
          <c:showSerName val="0"/>
          <c:showPercent val="0"/>
          <c:showBubbleSize val="0"/>
        </c:dLbls>
        <c:gapWidth val="219"/>
        <c:overlap val="-27"/>
        <c:axId val="1629384415"/>
        <c:axId val="1629378591"/>
      </c:barChart>
      <c:catAx>
        <c:axId val="162938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78591"/>
        <c:crosses val="autoZero"/>
        <c:auto val="1"/>
        <c:lblAlgn val="ctr"/>
        <c:lblOffset val="100"/>
        <c:noMultiLvlLbl val="0"/>
      </c:catAx>
      <c:valAx>
        <c:axId val="1629378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84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Is</a:t>
            </a:r>
            <a:r>
              <a:rPr lang="en-US" b="1" baseline="0"/>
              <a:t> Distance a factor in Bike Ownership?</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1"/>
            </a:solidFill>
            <a:ln>
              <a:noFill/>
            </a:ln>
            <a:effectLst/>
          </c:spPr>
          <c:invertIfNegative val="0"/>
          <c:dLbls>
            <c:delete val="1"/>
          </c:dLbls>
          <c:cat>
            <c:strRef>
              <c:f>'Pivot table'!$A$21:$A$26</c:f>
              <c:strCache>
                <c:ptCount val="5"/>
                <c:pt idx="0">
                  <c:v>0-1 Miles</c:v>
                </c:pt>
                <c:pt idx="1">
                  <c:v>1-2 Miles</c:v>
                </c:pt>
                <c:pt idx="2">
                  <c:v>2-5 Miles</c:v>
                </c:pt>
                <c:pt idx="3">
                  <c:v>5-10 Miles</c:v>
                </c:pt>
                <c:pt idx="4">
                  <c:v>10 + Miles</c:v>
                </c:pt>
              </c:strCache>
            </c:strRef>
          </c:cat>
          <c:val>
            <c:numRef>
              <c:f>'Pivot table'!$B$21:$B$26</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50B4-4B3C-8A7D-82AABA0264B1}"/>
            </c:ext>
          </c:extLst>
        </c:ser>
        <c:ser>
          <c:idx val="1"/>
          <c:order val="1"/>
          <c:tx>
            <c:strRef>
              <c:f>'Pivot table'!$C$19:$C$20</c:f>
              <c:strCache>
                <c:ptCount val="1"/>
                <c:pt idx="0">
                  <c:v>Yes</c:v>
                </c:pt>
              </c:strCache>
            </c:strRef>
          </c:tx>
          <c:spPr>
            <a:solidFill>
              <a:schemeClr val="accent2"/>
            </a:solidFill>
            <a:ln>
              <a:noFill/>
            </a:ln>
            <a:effectLst/>
          </c:spPr>
          <c:invertIfNegative val="0"/>
          <c:dLbls>
            <c:delete val="1"/>
          </c:dLbls>
          <c:cat>
            <c:strRef>
              <c:f>'Pivot table'!$A$21:$A$26</c:f>
              <c:strCache>
                <c:ptCount val="5"/>
                <c:pt idx="0">
                  <c:v>0-1 Miles</c:v>
                </c:pt>
                <c:pt idx="1">
                  <c:v>1-2 Miles</c:v>
                </c:pt>
                <c:pt idx="2">
                  <c:v>2-5 Miles</c:v>
                </c:pt>
                <c:pt idx="3">
                  <c:v>5-10 Miles</c:v>
                </c:pt>
                <c:pt idx="4">
                  <c:v>10 + Miles</c:v>
                </c:pt>
              </c:strCache>
            </c:strRef>
          </c:cat>
          <c:val>
            <c:numRef>
              <c:f>'Pivot table'!$C$21:$C$26</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50B4-4B3C-8A7D-82AABA0264B1}"/>
            </c:ext>
          </c:extLst>
        </c:ser>
        <c:dLbls>
          <c:dLblPos val="outEnd"/>
          <c:showLegendKey val="0"/>
          <c:showVal val="1"/>
          <c:showCatName val="0"/>
          <c:showSerName val="0"/>
          <c:showPercent val="0"/>
          <c:showBubbleSize val="0"/>
        </c:dLbls>
        <c:gapWidth val="219"/>
        <c:overlap val="-27"/>
        <c:axId val="1633646591"/>
        <c:axId val="1633649919"/>
      </c:barChart>
      <c:catAx>
        <c:axId val="163364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49919"/>
        <c:crosses val="autoZero"/>
        <c:auto val="1"/>
        <c:lblAlgn val="ctr"/>
        <c:lblOffset val="100"/>
        <c:noMultiLvlLbl val="0"/>
      </c:catAx>
      <c:valAx>
        <c:axId val="163364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46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Which</a:t>
            </a:r>
            <a:r>
              <a:rPr lang="en-US" b="1" baseline="0"/>
              <a:t> age group buys most bike?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table'!$A$38:$A$41</c:f>
              <c:strCache>
                <c:ptCount val="3"/>
                <c:pt idx="0">
                  <c:v>Adolescent</c:v>
                </c:pt>
                <c:pt idx="1">
                  <c:v>Middle Age</c:v>
                </c:pt>
                <c:pt idx="2">
                  <c:v>Old Age</c:v>
                </c:pt>
              </c:strCache>
            </c:strRef>
          </c:cat>
          <c:val>
            <c:numRef>
              <c:f>'Pivot table'!$B$38:$B$41</c:f>
              <c:numCache>
                <c:formatCode>General</c:formatCode>
                <c:ptCount val="3"/>
                <c:pt idx="0">
                  <c:v>88</c:v>
                </c:pt>
                <c:pt idx="1">
                  <c:v>296</c:v>
                </c:pt>
                <c:pt idx="2">
                  <c:v>135</c:v>
                </c:pt>
              </c:numCache>
            </c:numRef>
          </c:val>
          <c:extLst>
            <c:ext xmlns:c16="http://schemas.microsoft.com/office/drawing/2014/chart" uri="{C3380CC4-5D6E-409C-BE32-E72D297353CC}">
              <c16:uniqueId val="{00000000-D233-4E25-9CF0-A593EAF32A51}"/>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table'!$A$38:$A$41</c:f>
              <c:strCache>
                <c:ptCount val="3"/>
                <c:pt idx="0">
                  <c:v>Adolescent</c:v>
                </c:pt>
                <c:pt idx="1">
                  <c:v>Middle Age</c:v>
                </c:pt>
                <c:pt idx="2">
                  <c:v>Old Age</c:v>
                </c:pt>
              </c:strCache>
            </c:strRef>
          </c:cat>
          <c:val>
            <c:numRef>
              <c:f>'Pivot table'!$C$38:$C$41</c:f>
              <c:numCache>
                <c:formatCode>General</c:formatCode>
                <c:ptCount val="3"/>
                <c:pt idx="0">
                  <c:v>47</c:v>
                </c:pt>
                <c:pt idx="1">
                  <c:v>364</c:v>
                </c:pt>
                <c:pt idx="2">
                  <c:v>70</c:v>
                </c:pt>
              </c:numCache>
            </c:numRef>
          </c:val>
          <c:extLst>
            <c:ext xmlns:c16="http://schemas.microsoft.com/office/drawing/2014/chart" uri="{C3380CC4-5D6E-409C-BE32-E72D297353CC}">
              <c16:uniqueId val="{00000001-D233-4E25-9CF0-A593EAF32A51}"/>
            </c:ext>
          </c:extLst>
        </c:ser>
        <c:dLbls>
          <c:showLegendKey val="0"/>
          <c:showVal val="0"/>
          <c:showCatName val="0"/>
          <c:showSerName val="0"/>
          <c:showPercent val="0"/>
          <c:showBubbleSize val="0"/>
        </c:dLbls>
        <c:gapWidth val="219"/>
        <c:overlap val="-27"/>
        <c:axId val="1748458751"/>
        <c:axId val="1748447935"/>
      </c:barChart>
      <c:catAx>
        <c:axId val="174845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47935"/>
        <c:crosses val="autoZero"/>
        <c:auto val="1"/>
        <c:lblAlgn val="ctr"/>
        <c:lblOffset val="100"/>
        <c:noMultiLvlLbl val="0"/>
      </c:catAx>
      <c:valAx>
        <c:axId val="174844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58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Income who purchased bike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rgbClr val="FF0000"/>
          </a:solidFill>
          <a:ln>
            <a:solidFill>
              <a:srgbClr val="FF0000"/>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ln>
          <a:effectLst/>
        </c:spPr>
        <c:marker>
          <c:symbol val="none"/>
        </c:marker>
      </c:pivotFmt>
      <c:pivotFmt>
        <c:idx val="5"/>
        <c:spPr>
          <a:solidFill>
            <a:srgbClr val="00B050"/>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EAF-473A-B8F3-77BF8F366F9D}"/>
            </c:ext>
          </c:extLst>
        </c:ser>
        <c:ser>
          <c:idx val="1"/>
          <c:order val="1"/>
          <c:tx>
            <c:strRef>
              <c:f>'Pivot table'!$C$1:$C$2</c:f>
              <c:strCache>
                <c:ptCount val="1"/>
                <c:pt idx="0">
                  <c:v>Yes</c:v>
                </c:pt>
              </c:strCache>
            </c:strRef>
          </c:tx>
          <c:spPr>
            <a:solidFill>
              <a:schemeClr val="accent1">
                <a:lumMod val="75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EAF-473A-B8F3-77BF8F366F9D}"/>
            </c:ext>
          </c:extLst>
        </c:ser>
        <c:dLbls>
          <c:showLegendKey val="0"/>
          <c:showVal val="0"/>
          <c:showCatName val="0"/>
          <c:showSerName val="0"/>
          <c:showPercent val="0"/>
          <c:showBubbleSize val="0"/>
        </c:dLbls>
        <c:gapWidth val="219"/>
        <c:overlap val="-27"/>
        <c:axId val="1629384415"/>
        <c:axId val="1629378591"/>
      </c:barChart>
      <c:catAx>
        <c:axId val="162938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78591"/>
        <c:crosses val="autoZero"/>
        <c:auto val="1"/>
        <c:lblAlgn val="ctr"/>
        <c:lblOffset val="100"/>
        <c:noMultiLvlLbl val="0"/>
      </c:catAx>
      <c:valAx>
        <c:axId val="1629378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84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Is</a:t>
            </a:r>
            <a:r>
              <a:rPr lang="en-US" b="1" baseline="0"/>
              <a:t> Distance a factor in Bike Ownership?</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'Pivot table'!$B$19:$B$20</c:f>
              <c:strCache>
                <c:ptCount val="1"/>
                <c:pt idx="0">
                  <c:v>No</c:v>
                </c:pt>
              </c:strCache>
            </c:strRef>
          </c:tx>
          <c:spPr>
            <a:solidFill>
              <a:schemeClr val="accent2"/>
            </a:solidFill>
            <a:ln>
              <a:noFill/>
            </a:ln>
            <a:effectLst/>
          </c:spPr>
          <c:invertIfNegative val="0"/>
          <c:dLbls>
            <c:delete val="1"/>
          </c:dLbls>
          <c:cat>
            <c:strRef>
              <c:f>'Pivot table'!$A$21:$A$26</c:f>
              <c:strCache>
                <c:ptCount val="5"/>
                <c:pt idx="0">
                  <c:v>0-1 Miles</c:v>
                </c:pt>
                <c:pt idx="1">
                  <c:v>1-2 Miles</c:v>
                </c:pt>
                <c:pt idx="2">
                  <c:v>2-5 Miles</c:v>
                </c:pt>
                <c:pt idx="3">
                  <c:v>5-10 Miles</c:v>
                </c:pt>
                <c:pt idx="4">
                  <c:v>10 + Miles</c:v>
                </c:pt>
              </c:strCache>
            </c:strRef>
          </c:cat>
          <c:val>
            <c:numRef>
              <c:f>'Pivot table'!$B$21:$B$26</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A0F4-41CB-82A9-931105B64C63}"/>
            </c:ext>
          </c:extLst>
        </c:ser>
        <c:ser>
          <c:idx val="1"/>
          <c:order val="1"/>
          <c:tx>
            <c:strRef>
              <c:f>'Pivot table'!$C$19:$C$20</c:f>
              <c:strCache>
                <c:ptCount val="1"/>
                <c:pt idx="0">
                  <c:v>Yes</c:v>
                </c:pt>
              </c:strCache>
            </c:strRef>
          </c:tx>
          <c:spPr>
            <a:solidFill>
              <a:schemeClr val="accent1">
                <a:lumMod val="75000"/>
              </a:schemeClr>
            </a:solidFill>
            <a:ln>
              <a:noFill/>
            </a:ln>
            <a:effectLst/>
          </c:spPr>
          <c:invertIfNegative val="0"/>
          <c:dLbls>
            <c:delete val="1"/>
          </c:dLbls>
          <c:cat>
            <c:strRef>
              <c:f>'Pivot table'!$A$21:$A$26</c:f>
              <c:strCache>
                <c:ptCount val="5"/>
                <c:pt idx="0">
                  <c:v>0-1 Miles</c:v>
                </c:pt>
                <c:pt idx="1">
                  <c:v>1-2 Miles</c:v>
                </c:pt>
                <c:pt idx="2">
                  <c:v>2-5 Miles</c:v>
                </c:pt>
                <c:pt idx="3">
                  <c:v>5-10 Miles</c:v>
                </c:pt>
                <c:pt idx="4">
                  <c:v>10 + Miles</c:v>
                </c:pt>
              </c:strCache>
            </c:strRef>
          </c:cat>
          <c:val>
            <c:numRef>
              <c:f>'Pivot table'!$C$21:$C$26</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A0F4-41CB-82A9-931105B64C63}"/>
            </c:ext>
          </c:extLst>
        </c:ser>
        <c:dLbls>
          <c:dLblPos val="outEnd"/>
          <c:showLegendKey val="0"/>
          <c:showVal val="1"/>
          <c:showCatName val="0"/>
          <c:showSerName val="0"/>
          <c:showPercent val="0"/>
          <c:showBubbleSize val="0"/>
        </c:dLbls>
        <c:gapWidth val="219"/>
        <c:overlap val="-27"/>
        <c:axId val="1633646591"/>
        <c:axId val="1633649919"/>
      </c:barChart>
      <c:catAx>
        <c:axId val="163364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49919"/>
        <c:crosses val="autoZero"/>
        <c:auto val="1"/>
        <c:lblAlgn val="ctr"/>
        <c:lblOffset val="100"/>
        <c:noMultiLvlLbl val="0"/>
      </c:catAx>
      <c:valAx>
        <c:axId val="163364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46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Alex the data analyst).xlsx]Pivot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Which</a:t>
            </a:r>
            <a:r>
              <a:rPr lang="en-US" b="1" baseline="0"/>
              <a:t> age group buys most bike?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'Pivot table'!$B$36:$B$37</c:f>
              <c:strCache>
                <c:ptCount val="1"/>
                <c:pt idx="0">
                  <c:v>No</c:v>
                </c:pt>
              </c:strCache>
            </c:strRef>
          </c:tx>
          <c:spPr>
            <a:solidFill>
              <a:schemeClr val="accent2"/>
            </a:solidFill>
            <a:ln>
              <a:noFill/>
            </a:ln>
            <a:effectLst/>
          </c:spPr>
          <c:invertIfNegative val="0"/>
          <c:cat>
            <c:strRef>
              <c:f>'Pivot table'!$A$38:$A$41</c:f>
              <c:strCache>
                <c:ptCount val="3"/>
                <c:pt idx="0">
                  <c:v>Adolescent</c:v>
                </c:pt>
                <c:pt idx="1">
                  <c:v>Middle Age</c:v>
                </c:pt>
                <c:pt idx="2">
                  <c:v>Old Age</c:v>
                </c:pt>
              </c:strCache>
            </c:strRef>
          </c:cat>
          <c:val>
            <c:numRef>
              <c:f>'Pivot table'!$B$38:$B$41</c:f>
              <c:numCache>
                <c:formatCode>General</c:formatCode>
                <c:ptCount val="3"/>
                <c:pt idx="0">
                  <c:v>88</c:v>
                </c:pt>
                <c:pt idx="1">
                  <c:v>296</c:v>
                </c:pt>
                <c:pt idx="2">
                  <c:v>135</c:v>
                </c:pt>
              </c:numCache>
            </c:numRef>
          </c:val>
          <c:extLst>
            <c:ext xmlns:c16="http://schemas.microsoft.com/office/drawing/2014/chart" uri="{C3380CC4-5D6E-409C-BE32-E72D297353CC}">
              <c16:uniqueId val="{00000000-A6E2-40DF-835C-A2F6823BD85E}"/>
            </c:ext>
          </c:extLst>
        </c:ser>
        <c:ser>
          <c:idx val="1"/>
          <c:order val="1"/>
          <c:tx>
            <c:strRef>
              <c:f>'Pivot table'!$C$36:$C$37</c:f>
              <c:strCache>
                <c:ptCount val="1"/>
                <c:pt idx="0">
                  <c:v>Yes</c:v>
                </c:pt>
              </c:strCache>
            </c:strRef>
          </c:tx>
          <c:spPr>
            <a:solidFill>
              <a:schemeClr val="accent1">
                <a:lumMod val="75000"/>
              </a:schemeClr>
            </a:solidFill>
            <a:ln>
              <a:noFill/>
            </a:ln>
            <a:effectLst/>
          </c:spPr>
          <c:invertIfNegative val="0"/>
          <c:cat>
            <c:strRef>
              <c:f>'Pivot table'!$A$38:$A$41</c:f>
              <c:strCache>
                <c:ptCount val="3"/>
                <c:pt idx="0">
                  <c:v>Adolescent</c:v>
                </c:pt>
                <c:pt idx="1">
                  <c:v>Middle Age</c:v>
                </c:pt>
                <c:pt idx="2">
                  <c:v>Old Age</c:v>
                </c:pt>
              </c:strCache>
            </c:strRef>
          </c:cat>
          <c:val>
            <c:numRef>
              <c:f>'Pivot table'!$C$38:$C$41</c:f>
              <c:numCache>
                <c:formatCode>General</c:formatCode>
                <c:ptCount val="3"/>
                <c:pt idx="0">
                  <c:v>47</c:v>
                </c:pt>
                <c:pt idx="1">
                  <c:v>364</c:v>
                </c:pt>
                <c:pt idx="2">
                  <c:v>70</c:v>
                </c:pt>
              </c:numCache>
            </c:numRef>
          </c:val>
          <c:extLst>
            <c:ext xmlns:c16="http://schemas.microsoft.com/office/drawing/2014/chart" uri="{C3380CC4-5D6E-409C-BE32-E72D297353CC}">
              <c16:uniqueId val="{00000001-A6E2-40DF-835C-A2F6823BD85E}"/>
            </c:ext>
          </c:extLst>
        </c:ser>
        <c:dLbls>
          <c:showLegendKey val="0"/>
          <c:showVal val="0"/>
          <c:showCatName val="0"/>
          <c:showSerName val="0"/>
          <c:showPercent val="0"/>
          <c:showBubbleSize val="0"/>
        </c:dLbls>
        <c:gapWidth val="219"/>
        <c:overlap val="-27"/>
        <c:axId val="1748458751"/>
        <c:axId val="1748447935"/>
      </c:barChart>
      <c:catAx>
        <c:axId val="174845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47935"/>
        <c:crosses val="autoZero"/>
        <c:auto val="1"/>
        <c:lblAlgn val="ctr"/>
        <c:lblOffset val="100"/>
        <c:noMultiLvlLbl val="0"/>
      </c:catAx>
      <c:valAx>
        <c:axId val="174844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58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174625</xdr:colOff>
      <xdr:row>0</xdr:row>
      <xdr:rowOff>0</xdr:rowOff>
    </xdr:from>
    <xdr:to>
      <xdr:col>11</xdr:col>
      <xdr:colOff>479425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174625</xdr:colOff>
      <xdr:row>15</xdr:row>
      <xdr:rowOff>25400</xdr:rowOff>
    </xdr:from>
    <xdr:to>
      <xdr:col>11</xdr:col>
      <xdr:colOff>479425</xdr:colOff>
      <xdr:row>30</xdr:row>
      <xdr:rowOff>6350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31</xdr:row>
      <xdr:rowOff>25400</xdr:rowOff>
    </xdr:from>
    <xdr:to>
      <xdr:col>11</xdr:col>
      <xdr:colOff>485775</xdr:colOff>
      <xdr:row>46</xdr:row>
      <xdr:rowOff>6350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375505</xdr:colOff>
      <xdr:row>6</xdr:row>
      <xdr:rowOff>48847</xdr:rowOff>
    </xdr:from>
    <xdr:to>
      <xdr:col>7</xdr:col>
      <xdr:colOff>365736</xdr:colOff>
      <xdr:row>18</xdr:row>
      <xdr:rowOff>175846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400539</xdr:colOff>
      <xdr:row>6</xdr:row>
      <xdr:rowOff>48847</xdr:rowOff>
    </xdr:from>
    <xdr:to>
      <xdr:col>13</xdr:col>
      <xdr:colOff>0</xdr:colOff>
      <xdr:row>18</xdr:row>
      <xdr:rowOff>156308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351692</xdr:colOff>
      <xdr:row>19</xdr:row>
      <xdr:rowOff>39077</xdr:rowOff>
    </xdr:from>
    <xdr:to>
      <xdr:col>12</xdr:col>
      <xdr:colOff>595923</xdr:colOff>
      <xdr:row>33</xdr:row>
      <xdr:rowOff>183661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322</xdr:colOff>
      <xdr:row>6</xdr:row>
      <xdr:rowOff>4742</xdr:rowOff>
    </xdr:from>
    <xdr:to>
      <xdr:col>2</xdr:col>
      <xdr:colOff>329557</xdr:colOff>
      <xdr:row>11</xdr:row>
      <xdr:rowOff>72340</xdr:rowOff>
    </xdr:to>
    <mc:AlternateContent xmlns:mc="http://schemas.openxmlformats.org/markup-compatibility/2006" xmlns:a14="http://schemas.microsoft.com/office/drawing/2010/main">
      <mc:Choice Requires="a14">
        <xdr:graphicFrame macro="">
          <xdr:nvGraphicFramePr>
            <xdr:cNvPr id="5" name="Martial Status"/>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322" y="1100117"/>
              <a:ext cx="1551610" cy="980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16076</xdr:colOff>
      <xdr:row>18</xdr:row>
      <xdr:rowOff>95169</xdr:rowOff>
    </xdr:from>
    <xdr:to>
      <xdr:col>2</xdr:col>
      <xdr:colOff>337595</xdr:colOff>
      <xdr:row>28</xdr:row>
      <xdr:rowOff>128607</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076" y="3381294"/>
              <a:ext cx="1543894" cy="1859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137369</xdr:rowOff>
    </xdr:from>
    <xdr:to>
      <xdr:col>2</xdr:col>
      <xdr:colOff>329557</xdr:colOff>
      <xdr:row>18</xdr:row>
      <xdr:rowOff>16076</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5557"/>
              <a:ext cx="1551932" cy="1156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8038</xdr:colOff>
      <xdr:row>28</xdr:row>
      <xdr:rowOff>180534</xdr:rowOff>
    </xdr:from>
    <xdr:to>
      <xdr:col>2</xdr:col>
      <xdr:colOff>321519</xdr:colOff>
      <xdr:row>33</xdr:row>
      <xdr:rowOff>160761</xdr:rowOff>
    </xdr:to>
    <mc:AlternateContent xmlns:mc="http://schemas.openxmlformats.org/markup-compatibility/2006" xmlns:a14="http://schemas.microsoft.com/office/drawing/2010/main">
      <mc:Choice Requires="a14">
        <xdr:graphicFrame macro="">
          <xdr:nvGraphicFramePr>
            <xdr:cNvPr id="8"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8038" y="5292284"/>
              <a:ext cx="1535856" cy="89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97.07684074073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1"/>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2"/>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1"/>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2"/>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2"/>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1"/>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2"/>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2"/>
    <x v="1"/>
  </r>
  <r>
    <n v="25553"/>
    <x v="0"/>
    <x v="1"/>
    <n v="30000"/>
    <n v="1"/>
    <x v="0"/>
    <s v="Clerical"/>
    <x v="0"/>
    <n v="0"/>
    <x v="0"/>
    <x v="0"/>
    <n v="65"/>
    <x v="1"/>
    <x v="1"/>
  </r>
  <r>
    <n v="27951"/>
    <x v="1"/>
    <x v="1"/>
    <n v="80000"/>
    <n v="4"/>
    <x v="1"/>
    <s v="Professional"/>
    <x v="1"/>
    <n v="2"/>
    <x v="1"/>
    <x v="0"/>
    <n v="54"/>
    <x v="1"/>
    <x v="1"/>
  </r>
  <r>
    <n v="25026"/>
    <x v="0"/>
    <x v="1"/>
    <n v="20000"/>
    <n v="2"/>
    <x v="3"/>
    <s v="Clerical"/>
    <x v="0"/>
    <n v="3"/>
    <x v="2"/>
    <x v="1"/>
    <n v="54"/>
    <x v="1"/>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2"/>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1"/>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1"/>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1"/>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2"/>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1"/>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2"/>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2"/>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2"/>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2"/>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2"/>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1"/>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2"/>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1"/>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2"/>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2"/>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2"/>
    <x v="1"/>
  </r>
  <r>
    <n v="29106"/>
    <x v="1"/>
    <x v="1"/>
    <n v="40000"/>
    <n v="0"/>
    <x v="2"/>
    <s v="Skilled Manual"/>
    <x v="1"/>
    <n v="2"/>
    <x v="3"/>
    <x v="2"/>
    <n v="31"/>
    <x v="2"/>
    <x v="1"/>
  </r>
  <r>
    <n v="26236"/>
    <x v="0"/>
    <x v="0"/>
    <n v="40000"/>
    <n v="3"/>
    <x v="1"/>
    <s v="Clerical"/>
    <x v="0"/>
    <n v="1"/>
    <x v="0"/>
    <x v="2"/>
    <n v="31"/>
    <x v="2"/>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2"/>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1"/>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2"/>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2"/>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1"/>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2"/>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2"/>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1"/>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1"/>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2"/>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2"/>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1"/>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Gender">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defaultSubtota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3">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references count="1">
          <reference field="13" count="1" selected="0">
            <x v="0"/>
          </reference>
        </references>
      </pivotArea>
    </format>
    <format dxfId="8">
      <pivotArea outline="0" collapsedLevelsAreSubtotals="1" fieldPosition="0">
        <references count="1">
          <reference field="13" count="1" selected="0">
            <x v="0"/>
          </reference>
        </references>
      </pivotArea>
    </format>
    <format dxfId="7">
      <pivotArea outline="0" collapsedLevelsAreSubtotals="1" fieldPosition="0">
        <references count="1">
          <reference field="13" count="1" selected="0">
            <x v="0"/>
          </reference>
        </references>
      </pivotArea>
    </format>
    <format dxfId="6">
      <pivotArea outline="0" collapsedLevelsAreSubtotals="1" fieldPosition="0">
        <references count="1">
          <reference field="13" count="1" selected="0">
            <x v="0"/>
          </reference>
        </references>
      </pivotArea>
    </format>
    <format dxfId="5">
      <pivotArea outline="0" collapsedLevelsAreSubtotals="1" fieldPosition="0">
        <references count="1">
          <reference field="13" count="1" selected="0">
            <x v="1"/>
          </reference>
        </references>
      </pivotArea>
    </format>
    <format dxfId="4">
      <pivotArea outline="0" collapsedLevelsAreSubtotals="1" fieldPosition="0">
        <references count="1">
          <reference field="13" count="1" selected="0">
            <x v="1"/>
          </reference>
        </references>
      </pivotArea>
    </format>
    <format dxfId="3">
      <pivotArea outline="0" collapsedLevelsAreSubtotals="1" fieldPosition="0">
        <references count="1">
          <reference field="13" count="1" selected="0">
            <x v="1"/>
          </reference>
        </references>
      </pivotArea>
    </format>
    <format dxfId="2">
      <pivotArea grandCol="1" outline="0" collapsedLevelsAreSubtotals="1" fieldPosition="0"/>
    </format>
    <format dxfId="1">
      <pivotArea grandCol="1" outline="0" collapsedLevelsAreSubtotals="1" fieldPosition="0"/>
    </format>
    <format dxfId="0">
      <pivotArea grandCol="1"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Age Backet">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defaultSubtotal="0">
      <items count="3">
        <item x="2"/>
        <item x="0"/>
        <item x="1"/>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mmute Distance">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defaultSubtota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tial_Status" sourceName="Marti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1"/>
    <pivotTable tabId="3" name="PivotTable2"/>
    <pivotTable tabId="3" name="PivotTable3"/>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tial Status" cache="Slicer_Martial_Status" caption="Martial Status" style="SlicerStyleOther2" rowHeight="241300"/>
  <slicer name="Education" cache="Slicer_Education" caption="Education" style="SlicerStyleOther2" rowHeight="241300"/>
  <slicer name="Region" cache="Slicer_Region" caption="Region" style="SlicerStyleOther2" rowHeight="241300"/>
  <slicer name="Home Owner" cache="Slicer_Home_Owner" caption="Home Owner" style="SlicerStyleOther2" rowHeight="241300"/>
</slicers>
</file>

<file path=xl/tables/table1.xml><?xml version="1.0" encoding="utf-8"?>
<table xmlns="http://schemas.openxmlformats.org/spreadsheetml/2006/main" id="1" name="Table1" displayName="Table1" ref="A1:N240" totalsRowShown="0">
  <autoFilter ref="A1:N240"/>
  <tableColumns count="14">
    <tableColumn id="1" name="ID"/>
    <tableColumn id="2" name="Marti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acket"/>
    <tableColumn id="14" name="Purchased Bik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N240" totalsRowShown="0">
  <autoFilter ref="A1:N240"/>
  <tableColumns count="14">
    <tableColumn id="1" name="ID"/>
    <tableColumn id="2" name="Marti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acket"/>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D1" workbookViewId="0">
      <selection activeCell="M1" sqref="M1"/>
    </sheetView>
  </sheetViews>
  <sheetFormatPr defaultColWidth="11.90625" defaultRowHeight="14.5" x14ac:dyDescent="0.35"/>
  <cols>
    <col min="4" max="4" width="12.08984375" style="5" bestFit="1" customWidth="1"/>
    <col min="14" max="14" width="15.453125" customWidth="1"/>
  </cols>
  <sheetData>
    <row r="1" spans="1:14" x14ac:dyDescent="0.35">
      <c r="A1" s="3" t="s">
        <v>0</v>
      </c>
      <c r="B1" s="3" t="s">
        <v>40</v>
      </c>
      <c r="C1" s="3" t="s">
        <v>2</v>
      </c>
      <c r="D1" s="4" t="s">
        <v>3</v>
      </c>
      <c r="E1" s="3" t="s">
        <v>4</v>
      </c>
      <c r="F1" s="3" t="s">
        <v>5</v>
      </c>
      <c r="G1" s="3" t="s">
        <v>6</v>
      </c>
      <c r="H1" s="3" t="s">
        <v>7</v>
      </c>
      <c r="I1" s="3" t="s">
        <v>8</v>
      </c>
      <c r="J1" s="3" t="s">
        <v>9</v>
      </c>
      <c r="K1" s="3" t="s">
        <v>10</v>
      </c>
      <c r="L1" s="3" t="s">
        <v>11</v>
      </c>
      <c r="M1" s="3" t="s">
        <v>50</v>
      </c>
      <c r="N1" s="3" t="s">
        <v>12</v>
      </c>
    </row>
    <row r="2" spans="1:14" x14ac:dyDescent="0.35">
      <c r="A2">
        <v>12496</v>
      </c>
      <c r="B2" t="s">
        <v>36</v>
      </c>
      <c r="C2" t="s">
        <v>38</v>
      </c>
      <c r="D2" s="5">
        <v>40000</v>
      </c>
      <c r="E2">
        <v>1</v>
      </c>
      <c r="F2" t="s">
        <v>13</v>
      </c>
      <c r="G2" t="s">
        <v>14</v>
      </c>
      <c r="H2" t="s">
        <v>15</v>
      </c>
      <c r="I2">
        <v>0</v>
      </c>
      <c r="J2" t="s">
        <v>16</v>
      </c>
      <c r="K2" t="s">
        <v>17</v>
      </c>
      <c r="L2">
        <v>42</v>
      </c>
      <c r="M2" t="str">
        <f>IF(L2&lt;=31,"Adolescent", IF(L2&gt;=54, "Old Age","Middle Age"))</f>
        <v>Middle Age</v>
      </c>
      <c r="N2" t="s">
        <v>18</v>
      </c>
    </row>
    <row r="3" spans="1:14" x14ac:dyDescent="0.35">
      <c r="A3">
        <v>24107</v>
      </c>
      <c r="B3" t="s">
        <v>36</v>
      </c>
      <c r="C3" t="s">
        <v>39</v>
      </c>
      <c r="D3" s="5">
        <v>30000</v>
      </c>
      <c r="E3">
        <v>3</v>
      </c>
      <c r="F3" t="s">
        <v>19</v>
      </c>
      <c r="G3" t="s">
        <v>20</v>
      </c>
      <c r="H3" t="s">
        <v>15</v>
      </c>
      <c r="I3">
        <v>1</v>
      </c>
      <c r="J3" t="s">
        <v>16</v>
      </c>
      <c r="K3" t="s">
        <v>17</v>
      </c>
      <c r="L3">
        <v>43</v>
      </c>
      <c r="M3" t="str">
        <f t="shared" ref="M3:M66" si="0">IF(L3&lt;=31,"Adolescent", IF(L3&gt;=54, "Old Age","Middle Age"))</f>
        <v>Middle Age</v>
      </c>
      <c r="N3" t="s">
        <v>18</v>
      </c>
    </row>
    <row r="4" spans="1:14" x14ac:dyDescent="0.35">
      <c r="A4">
        <v>14177</v>
      </c>
      <c r="B4" t="s">
        <v>36</v>
      </c>
      <c r="C4" t="s">
        <v>39</v>
      </c>
      <c r="D4" s="5">
        <v>80000</v>
      </c>
      <c r="E4">
        <v>5</v>
      </c>
      <c r="F4" t="s">
        <v>19</v>
      </c>
      <c r="G4" t="s">
        <v>21</v>
      </c>
      <c r="H4" t="s">
        <v>18</v>
      </c>
      <c r="I4">
        <v>2</v>
      </c>
      <c r="J4" t="s">
        <v>22</v>
      </c>
      <c r="K4" t="s">
        <v>17</v>
      </c>
      <c r="L4">
        <v>60</v>
      </c>
      <c r="M4" t="str">
        <f t="shared" si="0"/>
        <v>Old Age</v>
      </c>
      <c r="N4" t="s">
        <v>18</v>
      </c>
    </row>
    <row r="5" spans="1:14" x14ac:dyDescent="0.35">
      <c r="A5">
        <v>24381</v>
      </c>
      <c r="B5" t="s">
        <v>37</v>
      </c>
      <c r="C5" t="s">
        <v>39</v>
      </c>
      <c r="D5" s="5">
        <v>70000</v>
      </c>
      <c r="E5">
        <v>0</v>
      </c>
      <c r="F5" t="s">
        <v>13</v>
      </c>
      <c r="G5" t="s">
        <v>21</v>
      </c>
      <c r="H5" t="s">
        <v>15</v>
      </c>
      <c r="I5">
        <v>1</v>
      </c>
      <c r="J5" t="s">
        <v>23</v>
      </c>
      <c r="K5" t="s">
        <v>24</v>
      </c>
      <c r="L5">
        <v>41</v>
      </c>
      <c r="M5" t="str">
        <f t="shared" si="0"/>
        <v>Middle Age</v>
      </c>
      <c r="N5" t="s">
        <v>15</v>
      </c>
    </row>
    <row r="6" spans="1:14" x14ac:dyDescent="0.35">
      <c r="A6">
        <v>25597</v>
      </c>
      <c r="B6" t="s">
        <v>37</v>
      </c>
      <c r="C6" t="s">
        <v>39</v>
      </c>
      <c r="D6" s="5">
        <v>30000</v>
      </c>
      <c r="E6">
        <v>0</v>
      </c>
      <c r="F6" t="s">
        <v>13</v>
      </c>
      <c r="G6" t="s">
        <v>20</v>
      </c>
      <c r="H6" t="s">
        <v>18</v>
      </c>
      <c r="I6">
        <v>0</v>
      </c>
      <c r="J6" t="s">
        <v>16</v>
      </c>
      <c r="K6" t="s">
        <v>17</v>
      </c>
      <c r="L6">
        <v>36</v>
      </c>
      <c r="M6" t="str">
        <f t="shared" si="0"/>
        <v>Middle Age</v>
      </c>
      <c r="N6" t="s">
        <v>15</v>
      </c>
    </row>
    <row r="7" spans="1:14" x14ac:dyDescent="0.35">
      <c r="A7">
        <v>13507</v>
      </c>
      <c r="B7" t="s">
        <v>36</v>
      </c>
      <c r="C7" t="s">
        <v>38</v>
      </c>
      <c r="D7" s="5">
        <v>10000</v>
      </c>
      <c r="E7">
        <v>2</v>
      </c>
      <c r="F7" t="s">
        <v>19</v>
      </c>
      <c r="G7" t="s">
        <v>25</v>
      </c>
      <c r="H7" t="s">
        <v>15</v>
      </c>
      <c r="I7">
        <v>0</v>
      </c>
      <c r="J7" t="s">
        <v>26</v>
      </c>
      <c r="K7" t="s">
        <v>17</v>
      </c>
      <c r="L7">
        <v>50</v>
      </c>
      <c r="M7" t="str">
        <f t="shared" si="0"/>
        <v>Middle Age</v>
      </c>
      <c r="N7" t="s">
        <v>18</v>
      </c>
    </row>
    <row r="8" spans="1:14" x14ac:dyDescent="0.35">
      <c r="A8">
        <v>27974</v>
      </c>
      <c r="B8" t="s">
        <v>37</v>
      </c>
      <c r="C8" t="s">
        <v>39</v>
      </c>
      <c r="D8" s="5">
        <v>160000</v>
      </c>
      <c r="E8">
        <v>2</v>
      </c>
      <c r="F8" t="s">
        <v>27</v>
      </c>
      <c r="G8" t="s">
        <v>28</v>
      </c>
      <c r="H8" t="s">
        <v>15</v>
      </c>
      <c r="I8">
        <v>4</v>
      </c>
      <c r="J8" t="s">
        <v>16</v>
      </c>
      <c r="K8" t="s">
        <v>24</v>
      </c>
      <c r="L8">
        <v>33</v>
      </c>
      <c r="M8" t="str">
        <f t="shared" si="0"/>
        <v>Middle Age</v>
      </c>
      <c r="N8" t="s">
        <v>15</v>
      </c>
    </row>
    <row r="9" spans="1:14" x14ac:dyDescent="0.35">
      <c r="A9">
        <v>19364</v>
      </c>
      <c r="B9" t="s">
        <v>36</v>
      </c>
      <c r="C9" t="s">
        <v>39</v>
      </c>
      <c r="D9" s="5">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5">
        <v>20000</v>
      </c>
      <c r="E10">
        <v>2</v>
      </c>
      <c r="F10" t="s">
        <v>29</v>
      </c>
      <c r="G10" t="s">
        <v>20</v>
      </c>
      <c r="H10" t="s">
        <v>15</v>
      </c>
      <c r="I10">
        <v>2</v>
      </c>
      <c r="J10" t="s">
        <v>23</v>
      </c>
      <c r="K10" t="s">
        <v>24</v>
      </c>
      <c r="L10">
        <v>58</v>
      </c>
      <c r="M10" t="str">
        <f t="shared" si="0"/>
        <v>Old Age</v>
      </c>
      <c r="N10" t="s">
        <v>18</v>
      </c>
    </row>
    <row r="11" spans="1:14" x14ac:dyDescent="0.35">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5">
        <v>30000</v>
      </c>
      <c r="E12">
        <v>3</v>
      </c>
      <c r="F12" t="s">
        <v>27</v>
      </c>
      <c r="G12" t="s">
        <v>14</v>
      </c>
      <c r="H12" t="s">
        <v>18</v>
      </c>
      <c r="I12">
        <v>2</v>
      </c>
      <c r="J12" t="s">
        <v>26</v>
      </c>
      <c r="K12" t="s">
        <v>24</v>
      </c>
      <c r="L12">
        <v>54</v>
      </c>
      <c r="M12" t="str">
        <f t="shared" si="0"/>
        <v>Old Age</v>
      </c>
      <c r="N12" t="s">
        <v>15</v>
      </c>
    </row>
    <row r="13" spans="1:14" x14ac:dyDescent="0.35">
      <c r="A13">
        <v>12697</v>
      </c>
      <c r="B13" t="s">
        <v>37</v>
      </c>
      <c r="C13" t="s">
        <v>38</v>
      </c>
      <c r="D13" s="5">
        <v>90000</v>
      </c>
      <c r="E13">
        <v>0</v>
      </c>
      <c r="F13" t="s">
        <v>13</v>
      </c>
      <c r="G13" t="s">
        <v>21</v>
      </c>
      <c r="H13" t="s">
        <v>18</v>
      </c>
      <c r="I13">
        <v>4</v>
      </c>
      <c r="J13" t="s">
        <v>44</v>
      </c>
      <c r="K13" t="s">
        <v>24</v>
      </c>
      <c r="L13">
        <v>36</v>
      </c>
      <c r="M13" t="str">
        <f t="shared" si="0"/>
        <v>Middle Age</v>
      </c>
      <c r="N13" t="s">
        <v>18</v>
      </c>
    </row>
    <row r="14" spans="1:14" x14ac:dyDescent="0.35">
      <c r="A14">
        <v>11434</v>
      </c>
      <c r="B14" t="s">
        <v>36</v>
      </c>
      <c r="C14" t="s">
        <v>39</v>
      </c>
      <c r="D14" s="5">
        <v>170000</v>
      </c>
      <c r="E14">
        <v>5</v>
      </c>
      <c r="F14" t="s">
        <v>19</v>
      </c>
      <c r="G14" t="s">
        <v>21</v>
      </c>
      <c r="H14" t="s">
        <v>15</v>
      </c>
      <c r="I14">
        <v>0</v>
      </c>
      <c r="J14" t="s">
        <v>16</v>
      </c>
      <c r="K14" t="s">
        <v>17</v>
      </c>
      <c r="L14">
        <v>55</v>
      </c>
      <c r="M14" t="str">
        <f t="shared" si="0"/>
        <v>Old Age</v>
      </c>
      <c r="N14" t="s">
        <v>18</v>
      </c>
    </row>
    <row r="15" spans="1:14" x14ac:dyDescent="0.35">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5">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5">
        <v>30000</v>
      </c>
      <c r="E18">
        <v>3</v>
      </c>
      <c r="F18" t="s">
        <v>19</v>
      </c>
      <c r="G18" t="s">
        <v>20</v>
      </c>
      <c r="H18" t="s">
        <v>18</v>
      </c>
      <c r="I18">
        <v>2</v>
      </c>
      <c r="J18" t="s">
        <v>26</v>
      </c>
      <c r="K18" t="s">
        <v>24</v>
      </c>
      <c r="L18">
        <v>59</v>
      </c>
      <c r="M18" t="str">
        <f t="shared" si="0"/>
        <v>Old Age</v>
      </c>
      <c r="N18" t="s">
        <v>15</v>
      </c>
    </row>
    <row r="19" spans="1:14" x14ac:dyDescent="0.35">
      <c r="A19">
        <v>12610</v>
      </c>
      <c r="B19" t="s">
        <v>36</v>
      </c>
      <c r="C19" t="s">
        <v>38</v>
      </c>
      <c r="D19" s="5">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5">
        <v>20000</v>
      </c>
      <c r="E21">
        <v>2</v>
      </c>
      <c r="F21" t="s">
        <v>29</v>
      </c>
      <c r="G21" t="s">
        <v>20</v>
      </c>
      <c r="H21" t="s">
        <v>15</v>
      </c>
      <c r="I21">
        <v>2</v>
      </c>
      <c r="J21" t="s">
        <v>23</v>
      </c>
      <c r="K21" t="s">
        <v>24</v>
      </c>
      <c r="L21">
        <v>55</v>
      </c>
      <c r="M21" t="str">
        <f t="shared" si="0"/>
        <v>Old Age</v>
      </c>
      <c r="N21" t="s">
        <v>15</v>
      </c>
    </row>
    <row r="22" spans="1:14" x14ac:dyDescent="0.35">
      <c r="A22">
        <v>25598</v>
      </c>
      <c r="B22" t="s">
        <v>36</v>
      </c>
      <c r="C22" t="s">
        <v>38</v>
      </c>
      <c r="D22" s="5">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5">
        <v>80000</v>
      </c>
      <c r="E23">
        <v>0</v>
      </c>
      <c r="F23" t="s">
        <v>13</v>
      </c>
      <c r="G23" t="s">
        <v>21</v>
      </c>
      <c r="H23" t="s">
        <v>15</v>
      </c>
      <c r="I23">
        <v>4</v>
      </c>
      <c r="J23" t="s">
        <v>44</v>
      </c>
      <c r="K23" t="s">
        <v>24</v>
      </c>
      <c r="L23">
        <v>35</v>
      </c>
      <c r="M23" t="str">
        <f t="shared" si="0"/>
        <v>Middle Age</v>
      </c>
      <c r="N23" t="s">
        <v>18</v>
      </c>
    </row>
    <row r="24" spans="1:14" x14ac:dyDescent="0.35">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5">
        <v>80000</v>
      </c>
      <c r="E25">
        <v>5</v>
      </c>
      <c r="F25" t="s">
        <v>27</v>
      </c>
      <c r="G25" t="s">
        <v>28</v>
      </c>
      <c r="H25" t="s">
        <v>18</v>
      </c>
      <c r="I25">
        <v>3</v>
      </c>
      <c r="J25" t="s">
        <v>23</v>
      </c>
      <c r="K25" t="s">
        <v>17</v>
      </c>
      <c r="L25">
        <v>56</v>
      </c>
      <c r="M25" t="str">
        <f t="shared" si="0"/>
        <v>Old Age</v>
      </c>
      <c r="N25" t="s">
        <v>18</v>
      </c>
    </row>
    <row r="26" spans="1:14" x14ac:dyDescent="0.35">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5">
        <v>30000</v>
      </c>
      <c r="E27">
        <v>1</v>
      </c>
      <c r="F27" t="s">
        <v>13</v>
      </c>
      <c r="G27" t="s">
        <v>20</v>
      </c>
      <c r="H27" t="s">
        <v>15</v>
      </c>
      <c r="I27">
        <v>0</v>
      </c>
      <c r="J27" t="s">
        <v>16</v>
      </c>
      <c r="K27" t="s">
        <v>17</v>
      </c>
      <c r="L27">
        <v>63</v>
      </c>
      <c r="M27" t="str">
        <f t="shared" si="0"/>
        <v>Old Age</v>
      </c>
      <c r="N27" t="s">
        <v>18</v>
      </c>
    </row>
    <row r="28" spans="1:14" x14ac:dyDescent="0.35">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5">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5">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5">
        <v>20000</v>
      </c>
      <c r="E32">
        <v>2</v>
      </c>
      <c r="F32" t="s">
        <v>19</v>
      </c>
      <c r="G32" t="s">
        <v>25</v>
      </c>
      <c r="H32" t="s">
        <v>15</v>
      </c>
      <c r="I32">
        <v>0</v>
      </c>
      <c r="J32" t="s">
        <v>16</v>
      </c>
      <c r="K32" t="s">
        <v>17</v>
      </c>
      <c r="L32">
        <v>63</v>
      </c>
      <c r="M32" t="str">
        <f t="shared" si="0"/>
        <v>Old Age</v>
      </c>
      <c r="N32" t="s">
        <v>18</v>
      </c>
    </row>
    <row r="33" spans="1:14" x14ac:dyDescent="0.35">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5">
        <v>20000</v>
      </c>
      <c r="E34">
        <v>0</v>
      </c>
      <c r="F34" t="s">
        <v>27</v>
      </c>
      <c r="G34" t="s">
        <v>25</v>
      </c>
      <c r="H34" t="s">
        <v>18</v>
      </c>
      <c r="I34">
        <v>1</v>
      </c>
      <c r="J34" t="s">
        <v>23</v>
      </c>
      <c r="K34" t="s">
        <v>17</v>
      </c>
      <c r="L34">
        <v>31</v>
      </c>
      <c r="M34" t="str">
        <f t="shared" si="0"/>
        <v>Adolescent</v>
      </c>
      <c r="N34" t="s">
        <v>18</v>
      </c>
    </row>
    <row r="35" spans="1:14" x14ac:dyDescent="0.35">
      <c r="A35">
        <v>18484</v>
      </c>
      <c r="B35" t="s">
        <v>37</v>
      </c>
      <c r="C35" t="s">
        <v>39</v>
      </c>
      <c r="D35" s="5">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5">
        <v>90000</v>
      </c>
      <c r="E36">
        <v>5</v>
      </c>
      <c r="F36" t="s">
        <v>19</v>
      </c>
      <c r="G36" t="s">
        <v>21</v>
      </c>
      <c r="H36" t="s">
        <v>18</v>
      </c>
      <c r="I36">
        <v>2</v>
      </c>
      <c r="J36" t="s">
        <v>22</v>
      </c>
      <c r="K36" t="s">
        <v>17</v>
      </c>
      <c r="L36">
        <v>62</v>
      </c>
      <c r="M36" t="str">
        <f t="shared" si="0"/>
        <v>Old Age</v>
      </c>
      <c r="N36" t="s">
        <v>15</v>
      </c>
    </row>
    <row r="37" spans="1:14" x14ac:dyDescent="0.35">
      <c r="A37">
        <v>28380</v>
      </c>
      <c r="B37" t="s">
        <v>37</v>
      </c>
      <c r="C37" t="s">
        <v>38</v>
      </c>
      <c r="D37" s="5">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5">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5">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5">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5">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5">
        <v>40000</v>
      </c>
      <c r="E43">
        <v>2</v>
      </c>
      <c r="F43" t="s">
        <v>13</v>
      </c>
      <c r="G43" t="s">
        <v>28</v>
      </c>
      <c r="H43" t="s">
        <v>15</v>
      </c>
      <c r="I43">
        <v>2</v>
      </c>
      <c r="J43" t="s">
        <v>23</v>
      </c>
      <c r="K43" t="s">
        <v>24</v>
      </c>
      <c r="L43">
        <v>65</v>
      </c>
      <c r="M43" t="str">
        <f t="shared" si="0"/>
        <v>Old Age</v>
      </c>
      <c r="N43" t="s">
        <v>15</v>
      </c>
    </row>
    <row r="44" spans="1:14" x14ac:dyDescent="0.35">
      <c r="A44">
        <v>17703</v>
      </c>
      <c r="B44" t="s">
        <v>36</v>
      </c>
      <c r="C44" t="s">
        <v>38</v>
      </c>
      <c r="D44" s="5">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5">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5">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5">
        <v>20000</v>
      </c>
      <c r="E47">
        <v>1</v>
      </c>
      <c r="F47" t="s">
        <v>13</v>
      </c>
      <c r="G47" t="s">
        <v>20</v>
      </c>
      <c r="H47" t="s">
        <v>15</v>
      </c>
      <c r="I47">
        <v>0</v>
      </c>
      <c r="J47" t="s">
        <v>16</v>
      </c>
      <c r="K47" t="s">
        <v>17</v>
      </c>
      <c r="L47">
        <v>66</v>
      </c>
      <c r="M47" t="str">
        <f t="shared" si="0"/>
        <v>Old Age</v>
      </c>
      <c r="N47" t="s">
        <v>15</v>
      </c>
    </row>
    <row r="48" spans="1:14" x14ac:dyDescent="0.35">
      <c r="A48">
        <v>24466</v>
      </c>
      <c r="B48" t="s">
        <v>36</v>
      </c>
      <c r="C48" t="s">
        <v>38</v>
      </c>
      <c r="D48" s="5">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5">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5">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5">
        <v>80000</v>
      </c>
      <c r="E53">
        <v>0</v>
      </c>
      <c r="F53" t="s">
        <v>13</v>
      </c>
      <c r="G53" t="s">
        <v>21</v>
      </c>
      <c r="H53" t="s">
        <v>18</v>
      </c>
      <c r="I53">
        <v>4</v>
      </c>
      <c r="J53" t="s">
        <v>44</v>
      </c>
      <c r="K53" t="s">
        <v>24</v>
      </c>
      <c r="L53">
        <v>35</v>
      </c>
      <c r="M53" t="str">
        <f t="shared" si="0"/>
        <v>Middle Age</v>
      </c>
      <c r="N53" t="s">
        <v>18</v>
      </c>
    </row>
    <row r="54" spans="1:14" x14ac:dyDescent="0.35">
      <c r="A54">
        <v>12558</v>
      </c>
      <c r="B54" t="s">
        <v>36</v>
      </c>
      <c r="C54" t="s">
        <v>38</v>
      </c>
      <c r="D54" s="5">
        <v>20000</v>
      </c>
      <c r="E54">
        <v>1</v>
      </c>
      <c r="F54" t="s">
        <v>13</v>
      </c>
      <c r="G54" t="s">
        <v>20</v>
      </c>
      <c r="H54" t="s">
        <v>15</v>
      </c>
      <c r="I54">
        <v>0</v>
      </c>
      <c r="J54" t="s">
        <v>16</v>
      </c>
      <c r="K54" t="s">
        <v>17</v>
      </c>
      <c r="L54">
        <v>65</v>
      </c>
      <c r="M54" t="str">
        <f t="shared" si="0"/>
        <v>Old Age</v>
      </c>
      <c r="N54" t="s">
        <v>18</v>
      </c>
    </row>
    <row r="55" spans="1:14" x14ac:dyDescent="0.35">
      <c r="A55">
        <v>24871</v>
      </c>
      <c r="B55" t="s">
        <v>37</v>
      </c>
      <c r="C55" t="s">
        <v>38</v>
      </c>
      <c r="D55" s="5">
        <v>90000</v>
      </c>
      <c r="E55">
        <v>4</v>
      </c>
      <c r="F55" t="s">
        <v>27</v>
      </c>
      <c r="G55" t="s">
        <v>28</v>
      </c>
      <c r="H55" t="s">
        <v>18</v>
      </c>
      <c r="I55">
        <v>3</v>
      </c>
      <c r="J55" t="s">
        <v>23</v>
      </c>
      <c r="K55" t="s">
        <v>17</v>
      </c>
      <c r="L55">
        <v>56</v>
      </c>
      <c r="M55" t="str">
        <f t="shared" si="0"/>
        <v>Old Age</v>
      </c>
      <c r="N55" t="s">
        <v>18</v>
      </c>
    </row>
    <row r="56" spans="1:14" x14ac:dyDescent="0.35">
      <c r="A56">
        <v>17319</v>
      </c>
      <c r="B56" t="s">
        <v>37</v>
      </c>
      <c r="C56" t="s">
        <v>38</v>
      </c>
      <c r="D56" s="5">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5">
        <v>80000</v>
      </c>
      <c r="E57">
        <v>4</v>
      </c>
      <c r="F57" t="s">
        <v>27</v>
      </c>
      <c r="G57" t="s">
        <v>21</v>
      </c>
      <c r="H57" t="s">
        <v>15</v>
      </c>
      <c r="I57">
        <v>2</v>
      </c>
      <c r="J57" t="s">
        <v>44</v>
      </c>
      <c r="K57" t="s">
        <v>17</v>
      </c>
      <c r="L57">
        <v>54</v>
      </c>
      <c r="M57" t="str">
        <f t="shared" si="0"/>
        <v>Old Age</v>
      </c>
      <c r="N57" t="s">
        <v>18</v>
      </c>
    </row>
    <row r="58" spans="1:14" x14ac:dyDescent="0.35">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5">
        <v>130000</v>
      </c>
      <c r="E59">
        <v>4</v>
      </c>
      <c r="F59" t="s">
        <v>19</v>
      </c>
      <c r="G59" t="s">
        <v>21</v>
      </c>
      <c r="H59" t="s">
        <v>18</v>
      </c>
      <c r="I59">
        <v>4</v>
      </c>
      <c r="J59" t="s">
        <v>23</v>
      </c>
      <c r="K59" t="s">
        <v>17</v>
      </c>
      <c r="L59">
        <v>61</v>
      </c>
      <c r="M59" t="str">
        <f t="shared" si="0"/>
        <v>Old Age</v>
      </c>
      <c r="N59" t="s">
        <v>15</v>
      </c>
    </row>
    <row r="60" spans="1:14" x14ac:dyDescent="0.35">
      <c r="A60">
        <v>25502</v>
      </c>
      <c r="B60" t="s">
        <v>36</v>
      </c>
      <c r="C60" t="s">
        <v>38</v>
      </c>
      <c r="D60" s="5">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5">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5">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5">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5">
        <v>60000</v>
      </c>
      <c r="E65">
        <v>4</v>
      </c>
      <c r="F65" t="s">
        <v>13</v>
      </c>
      <c r="G65" t="s">
        <v>21</v>
      </c>
      <c r="H65" t="s">
        <v>15</v>
      </c>
      <c r="I65">
        <v>3</v>
      </c>
      <c r="J65" t="s">
        <v>44</v>
      </c>
      <c r="K65" t="s">
        <v>24</v>
      </c>
      <c r="L65">
        <v>41</v>
      </c>
      <c r="M65" t="str">
        <f t="shared" si="0"/>
        <v>Middle Age</v>
      </c>
      <c r="N65" t="s">
        <v>18</v>
      </c>
    </row>
    <row r="66" spans="1:14" x14ac:dyDescent="0.35">
      <c r="A66">
        <v>14927</v>
      </c>
      <c r="B66" t="s">
        <v>36</v>
      </c>
      <c r="C66" t="s">
        <v>38</v>
      </c>
      <c r="D66" s="5">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5">
        <v>30000</v>
      </c>
      <c r="E67">
        <v>2</v>
      </c>
      <c r="F67" t="s">
        <v>19</v>
      </c>
      <c r="G67" t="s">
        <v>20</v>
      </c>
      <c r="H67" t="s">
        <v>15</v>
      </c>
      <c r="I67">
        <v>2</v>
      </c>
      <c r="J67" t="s">
        <v>23</v>
      </c>
      <c r="K67" t="s">
        <v>24</v>
      </c>
      <c r="L67">
        <v>68</v>
      </c>
      <c r="M67" t="str">
        <f t="shared" ref="M67:M130" si="1">IF(L67&lt;=31,"Adolescent", IF(L67&gt;=54, "Old Age","Middle Age"))</f>
        <v>Old Age</v>
      </c>
      <c r="N67" t="s">
        <v>18</v>
      </c>
    </row>
    <row r="68" spans="1:14" x14ac:dyDescent="0.35">
      <c r="A68">
        <v>29355</v>
      </c>
      <c r="B68" t="s">
        <v>36</v>
      </c>
      <c r="C68" t="s">
        <v>38</v>
      </c>
      <c r="D68" s="5">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5">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5">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5">
        <v>120000</v>
      </c>
      <c r="E72">
        <v>0</v>
      </c>
      <c r="F72" t="s">
        <v>29</v>
      </c>
      <c r="G72" t="s">
        <v>21</v>
      </c>
      <c r="H72" t="s">
        <v>15</v>
      </c>
      <c r="I72">
        <v>4</v>
      </c>
      <c r="J72" t="s">
        <v>44</v>
      </c>
      <c r="K72" t="s">
        <v>24</v>
      </c>
      <c r="L72">
        <v>36</v>
      </c>
      <c r="M72" t="str">
        <f t="shared" si="1"/>
        <v>Middle Age</v>
      </c>
      <c r="N72" t="s">
        <v>15</v>
      </c>
    </row>
    <row r="73" spans="1:14" x14ac:dyDescent="0.35">
      <c r="A73">
        <v>16200</v>
      </c>
      <c r="B73" t="s">
        <v>37</v>
      </c>
      <c r="C73" t="s">
        <v>38</v>
      </c>
      <c r="D73" s="5">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5">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5">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5">
        <v>20000</v>
      </c>
      <c r="E76">
        <v>3</v>
      </c>
      <c r="F76" t="s">
        <v>27</v>
      </c>
      <c r="G76" t="s">
        <v>14</v>
      </c>
      <c r="H76" t="s">
        <v>18</v>
      </c>
      <c r="I76">
        <v>2</v>
      </c>
      <c r="J76" t="s">
        <v>26</v>
      </c>
      <c r="K76" t="s">
        <v>24</v>
      </c>
      <c r="L76">
        <v>62</v>
      </c>
      <c r="M76" t="str">
        <f t="shared" si="1"/>
        <v>Old Age</v>
      </c>
      <c r="N76" t="s">
        <v>18</v>
      </c>
    </row>
    <row r="77" spans="1:14" x14ac:dyDescent="0.35">
      <c r="A77">
        <v>12678</v>
      </c>
      <c r="B77" t="s">
        <v>37</v>
      </c>
      <c r="C77" t="s">
        <v>38</v>
      </c>
      <c r="D77" s="5">
        <v>130000</v>
      </c>
      <c r="E77">
        <v>4</v>
      </c>
      <c r="F77" t="s">
        <v>27</v>
      </c>
      <c r="G77" t="s">
        <v>28</v>
      </c>
      <c r="H77" t="s">
        <v>15</v>
      </c>
      <c r="I77">
        <v>4</v>
      </c>
      <c r="J77" t="s">
        <v>16</v>
      </c>
      <c r="K77" t="s">
        <v>24</v>
      </c>
      <c r="L77">
        <v>31</v>
      </c>
      <c r="M77" t="str">
        <f t="shared" si="1"/>
        <v>Adolescent</v>
      </c>
      <c r="N77" t="s">
        <v>18</v>
      </c>
    </row>
    <row r="78" spans="1:14" x14ac:dyDescent="0.35">
      <c r="A78">
        <v>16188</v>
      </c>
      <c r="B78" t="s">
        <v>37</v>
      </c>
      <c r="C78" t="s">
        <v>38</v>
      </c>
      <c r="D78" s="5">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5">
        <v>80000</v>
      </c>
      <c r="E79">
        <v>0</v>
      </c>
      <c r="F79" t="s">
        <v>13</v>
      </c>
      <c r="G79" t="s">
        <v>21</v>
      </c>
      <c r="H79" t="s">
        <v>15</v>
      </c>
      <c r="I79">
        <v>2</v>
      </c>
      <c r="J79" t="s">
        <v>44</v>
      </c>
      <c r="K79" t="s">
        <v>24</v>
      </c>
      <c r="L79">
        <v>29</v>
      </c>
      <c r="M79" t="str">
        <f t="shared" si="1"/>
        <v>Adolescent</v>
      </c>
      <c r="N79" t="s">
        <v>15</v>
      </c>
    </row>
    <row r="80" spans="1:14" x14ac:dyDescent="0.35">
      <c r="A80">
        <v>15752</v>
      </c>
      <c r="B80" t="s">
        <v>36</v>
      </c>
      <c r="C80" t="s">
        <v>39</v>
      </c>
      <c r="D80" s="5">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5">
        <v>40000</v>
      </c>
      <c r="E81">
        <v>2</v>
      </c>
      <c r="F81" t="s">
        <v>13</v>
      </c>
      <c r="G81" t="s">
        <v>28</v>
      </c>
      <c r="H81" t="s">
        <v>15</v>
      </c>
      <c r="I81">
        <v>2</v>
      </c>
      <c r="J81" t="s">
        <v>23</v>
      </c>
      <c r="K81" t="s">
        <v>24</v>
      </c>
      <c r="L81">
        <v>63</v>
      </c>
      <c r="M81" t="str">
        <f t="shared" si="1"/>
        <v>Old Age</v>
      </c>
      <c r="N81" t="s">
        <v>15</v>
      </c>
    </row>
    <row r="82" spans="1:14" x14ac:dyDescent="0.35">
      <c r="A82">
        <v>20828</v>
      </c>
      <c r="B82" t="s">
        <v>36</v>
      </c>
      <c r="C82" t="s">
        <v>38</v>
      </c>
      <c r="D82" s="5">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5">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5">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5">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5">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5">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5">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5">
        <v>30000</v>
      </c>
      <c r="E96">
        <v>3</v>
      </c>
      <c r="F96" t="s">
        <v>27</v>
      </c>
      <c r="G96" t="s">
        <v>14</v>
      </c>
      <c r="H96" t="s">
        <v>15</v>
      </c>
      <c r="I96">
        <v>2</v>
      </c>
      <c r="J96" t="s">
        <v>23</v>
      </c>
      <c r="K96" t="s">
        <v>24</v>
      </c>
      <c r="L96">
        <v>55</v>
      </c>
      <c r="M96" t="str">
        <f t="shared" si="1"/>
        <v>Old Age</v>
      </c>
      <c r="N96" t="s">
        <v>18</v>
      </c>
    </row>
    <row r="97" spans="1:14" x14ac:dyDescent="0.35">
      <c r="A97">
        <v>17197</v>
      </c>
      <c r="B97" t="s">
        <v>37</v>
      </c>
      <c r="C97" t="s">
        <v>38</v>
      </c>
      <c r="D97" s="5">
        <v>90000</v>
      </c>
      <c r="E97">
        <v>5</v>
      </c>
      <c r="F97" t="s">
        <v>19</v>
      </c>
      <c r="G97" t="s">
        <v>21</v>
      </c>
      <c r="H97" t="s">
        <v>15</v>
      </c>
      <c r="I97">
        <v>2</v>
      </c>
      <c r="J97" t="s">
        <v>44</v>
      </c>
      <c r="K97" t="s">
        <v>17</v>
      </c>
      <c r="L97">
        <v>62</v>
      </c>
      <c r="M97" t="str">
        <f t="shared" si="1"/>
        <v>Old Age</v>
      </c>
      <c r="N97" t="s">
        <v>18</v>
      </c>
    </row>
    <row r="98" spans="1:14" x14ac:dyDescent="0.35">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5">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5">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5">
        <v>80000</v>
      </c>
      <c r="E120">
        <v>5</v>
      </c>
      <c r="F120" t="s">
        <v>13</v>
      </c>
      <c r="G120" t="s">
        <v>28</v>
      </c>
      <c r="H120" t="s">
        <v>15</v>
      </c>
      <c r="I120">
        <v>2</v>
      </c>
      <c r="J120" t="s">
        <v>22</v>
      </c>
      <c r="K120" t="s">
        <v>17</v>
      </c>
      <c r="L120">
        <v>62</v>
      </c>
      <c r="M120" t="str">
        <f t="shared" si="1"/>
        <v>Old Age</v>
      </c>
      <c r="N120" t="s">
        <v>18</v>
      </c>
    </row>
    <row r="121" spans="1:14" x14ac:dyDescent="0.35">
      <c r="A121">
        <v>12871</v>
      </c>
      <c r="B121" t="s">
        <v>37</v>
      </c>
      <c r="C121" t="s">
        <v>38</v>
      </c>
      <c r="D121" s="5">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5">
        <v>40000</v>
      </c>
      <c r="E122">
        <v>2</v>
      </c>
      <c r="F122" t="s">
        <v>13</v>
      </c>
      <c r="G122" t="s">
        <v>28</v>
      </c>
      <c r="H122" t="s">
        <v>15</v>
      </c>
      <c r="I122">
        <v>2</v>
      </c>
      <c r="J122" t="s">
        <v>23</v>
      </c>
      <c r="K122" t="s">
        <v>24</v>
      </c>
      <c r="L122">
        <v>66</v>
      </c>
      <c r="M122" t="str">
        <f t="shared" si="1"/>
        <v>Old Age</v>
      </c>
      <c r="N122" t="s">
        <v>15</v>
      </c>
    </row>
    <row r="123" spans="1:14" x14ac:dyDescent="0.35">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5">
        <v>80000</v>
      </c>
      <c r="E124">
        <v>0</v>
      </c>
      <c r="F124" t="s">
        <v>13</v>
      </c>
      <c r="G124" t="s">
        <v>21</v>
      </c>
      <c r="H124" t="s">
        <v>18</v>
      </c>
      <c r="I124">
        <v>3</v>
      </c>
      <c r="J124" t="s">
        <v>44</v>
      </c>
      <c r="K124" t="s">
        <v>24</v>
      </c>
      <c r="L124">
        <v>31</v>
      </c>
      <c r="M124" t="str">
        <f t="shared" si="1"/>
        <v>Adolescent</v>
      </c>
      <c r="N124" t="s">
        <v>18</v>
      </c>
    </row>
    <row r="125" spans="1:14" x14ac:dyDescent="0.35">
      <c r="A125">
        <v>23627</v>
      </c>
      <c r="B125" t="s">
        <v>37</v>
      </c>
      <c r="C125" t="s">
        <v>38</v>
      </c>
      <c r="D125" s="5">
        <v>100000</v>
      </c>
      <c r="E125">
        <v>3</v>
      </c>
      <c r="F125" t="s">
        <v>19</v>
      </c>
      <c r="G125" t="s">
        <v>28</v>
      </c>
      <c r="H125" t="s">
        <v>18</v>
      </c>
      <c r="I125">
        <v>4</v>
      </c>
      <c r="J125" t="s">
        <v>23</v>
      </c>
      <c r="K125" t="s">
        <v>17</v>
      </c>
      <c r="L125">
        <v>56</v>
      </c>
      <c r="M125" t="str">
        <f t="shared" si="1"/>
        <v>Old Age</v>
      </c>
      <c r="N125" t="s">
        <v>18</v>
      </c>
    </row>
    <row r="126" spans="1:14" x14ac:dyDescent="0.35">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5">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5">
        <v>10000</v>
      </c>
      <c r="E131">
        <v>3</v>
      </c>
      <c r="F131" t="s">
        <v>27</v>
      </c>
      <c r="G131" t="s">
        <v>25</v>
      </c>
      <c r="H131" t="s">
        <v>15</v>
      </c>
      <c r="I131">
        <v>1</v>
      </c>
      <c r="J131" t="s">
        <v>16</v>
      </c>
      <c r="K131" t="s">
        <v>17</v>
      </c>
      <c r="L131">
        <v>39</v>
      </c>
      <c r="M131" t="str">
        <f t="shared" ref="M131:M194" si="2">IF(L131&lt;=31,"Adolescent", IF(L131&gt;=54, "Old Age","Middle Age"))</f>
        <v>Middle Age</v>
      </c>
      <c r="N131" t="s">
        <v>15</v>
      </c>
    </row>
    <row r="132" spans="1:14" x14ac:dyDescent="0.35">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5">
        <v>90000</v>
      </c>
      <c r="E133">
        <v>4</v>
      </c>
      <c r="F133" t="s">
        <v>27</v>
      </c>
      <c r="G133" t="s">
        <v>28</v>
      </c>
      <c r="H133" t="s">
        <v>15</v>
      </c>
      <c r="I133">
        <v>3</v>
      </c>
      <c r="J133" t="s">
        <v>23</v>
      </c>
      <c r="K133" t="s">
        <v>17</v>
      </c>
      <c r="L133">
        <v>56</v>
      </c>
      <c r="M133" t="str">
        <f t="shared" si="2"/>
        <v>Old Age</v>
      </c>
      <c r="N133" t="s">
        <v>15</v>
      </c>
    </row>
    <row r="134" spans="1:14" x14ac:dyDescent="0.35">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5">
        <v>40000</v>
      </c>
      <c r="E135">
        <v>2</v>
      </c>
      <c r="F135" t="s">
        <v>13</v>
      </c>
      <c r="G135" t="s">
        <v>28</v>
      </c>
      <c r="H135" t="s">
        <v>15</v>
      </c>
      <c r="I135">
        <v>2</v>
      </c>
      <c r="J135" t="s">
        <v>23</v>
      </c>
      <c r="K135" t="s">
        <v>24</v>
      </c>
      <c r="L135">
        <v>65</v>
      </c>
      <c r="M135" t="str">
        <f t="shared" si="2"/>
        <v>Old Age</v>
      </c>
      <c r="N135" t="s">
        <v>15</v>
      </c>
    </row>
    <row r="136" spans="1:14" x14ac:dyDescent="0.35">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5">
        <v>20000</v>
      </c>
      <c r="E140">
        <v>2</v>
      </c>
      <c r="F140" t="s">
        <v>29</v>
      </c>
      <c r="G140" t="s">
        <v>20</v>
      </c>
      <c r="H140" t="s">
        <v>15</v>
      </c>
      <c r="I140">
        <v>2</v>
      </c>
      <c r="J140" t="s">
        <v>23</v>
      </c>
      <c r="K140" t="s">
        <v>24</v>
      </c>
      <c r="L140">
        <v>55</v>
      </c>
      <c r="M140" t="str">
        <f t="shared" si="2"/>
        <v>Old Age</v>
      </c>
      <c r="N140" t="s">
        <v>15</v>
      </c>
    </row>
    <row r="141" spans="1:14" x14ac:dyDescent="0.35">
      <c r="A141">
        <v>26547</v>
      </c>
      <c r="B141" t="s">
        <v>37</v>
      </c>
      <c r="C141" t="s">
        <v>38</v>
      </c>
      <c r="D141" s="5">
        <v>30000</v>
      </c>
      <c r="E141">
        <v>2</v>
      </c>
      <c r="F141" t="s">
        <v>19</v>
      </c>
      <c r="G141" t="s">
        <v>20</v>
      </c>
      <c r="H141" t="s">
        <v>18</v>
      </c>
      <c r="I141">
        <v>2</v>
      </c>
      <c r="J141" t="s">
        <v>23</v>
      </c>
      <c r="K141" t="s">
        <v>24</v>
      </c>
      <c r="L141">
        <v>60</v>
      </c>
      <c r="M141" t="str">
        <f t="shared" si="2"/>
        <v>Old Age</v>
      </c>
      <c r="N141" t="s">
        <v>15</v>
      </c>
    </row>
    <row r="142" spans="1:14" x14ac:dyDescent="0.35">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5">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5">
        <v>80000</v>
      </c>
      <c r="E145">
        <v>0</v>
      </c>
      <c r="F145" t="s">
        <v>13</v>
      </c>
      <c r="G145" t="s">
        <v>21</v>
      </c>
      <c r="H145" t="s">
        <v>15</v>
      </c>
      <c r="I145">
        <v>3</v>
      </c>
      <c r="J145" t="s">
        <v>44</v>
      </c>
      <c r="K145" t="s">
        <v>24</v>
      </c>
      <c r="L145">
        <v>32</v>
      </c>
      <c r="M145" t="str">
        <f t="shared" si="2"/>
        <v>Middle Age</v>
      </c>
      <c r="N145" t="s">
        <v>18</v>
      </c>
    </row>
    <row r="146" spans="1:14" x14ac:dyDescent="0.35">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5">
        <v>20000</v>
      </c>
      <c r="E150">
        <v>4</v>
      </c>
      <c r="F150" t="s">
        <v>27</v>
      </c>
      <c r="G150" t="s">
        <v>14</v>
      </c>
      <c r="H150" t="s">
        <v>15</v>
      </c>
      <c r="I150">
        <v>2</v>
      </c>
      <c r="J150" t="s">
        <v>23</v>
      </c>
      <c r="K150" t="s">
        <v>24</v>
      </c>
      <c r="L150">
        <v>60</v>
      </c>
      <c r="M150" t="str">
        <f t="shared" si="2"/>
        <v>Old Age</v>
      </c>
      <c r="N150" t="s">
        <v>18</v>
      </c>
    </row>
    <row r="151" spans="1:14" x14ac:dyDescent="0.35">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5">
        <v>130000</v>
      </c>
      <c r="E158">
        <v>5</v>
      </c>
      <c r="F158" t="s">
        <v>19</v>
      </c>
      <c r="G158" t="s">
        <v>21</v>
      </c>
      <c r="H158" t="s">
        <v>15</v>
      </c>
      <c r="I158">
        <v>4</v>
      </c>
      <c r="J158" t="s">
        <v>16</v>
      </c>
      <c r="K158" t="s">
        <v>17</v>
      </c>
      <c r="L158">
        <v>59</v>
      </c>
      <c r="M158" t="str">
        <f t="shared" si="2"/>
        <v>Old Age</v>
      </c>
      <c r="N158" t="s">
        <v>18</v>
      </c>
    </row>
    <row r="159" spans="1:14" x14ac:dyDescent="0.35">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5">
        <v>20000</v>
      </c>
      <c r="E160">
        <v>2</v>
      </c>
      <c r="F160" t="s">
        <v>19</v>
      </c>
      <c r="G160" t="s">
        <v>25</v>
      </c>
      <c r="H160" t="s">
        <v>18</v>
      </c>
      <c r="I160">
        <v>1</v>
      </c>
      <c r="J160" t="s">
        <v>16</v>
      </c>
      <c r="K160" t="s">
        <v>17</v>
      </c>
      <c r="L160">
        <v>54</v>
      </c>
      <c r="M160" t="str">
        <f t="shared" si="2"/>
        <v>Old Age</v>
      </c>
      <c r="N160" t="s">
        <v>15</v>
      </c>
    </row>
    <row r="161" spans="1:14" x14ac:dyDescent="0.35">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5">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5">
        <v>100000</v>
      </c>
      <c r="E169">
        <v>0</v>
      </c>
      <c r="F169" t="s">
        <v>27</v>
      </c>
      <c r="G169" t="s">
        <v>28</v>
      </c>
      <c r="H169" t="s">
        <v>15</v>
      </c>
      <c r="I169">
        <v>3</v>
      </c>
      <c r="J169" t="s">
        <v>44</v>
      </c>
      <c r="K169" t="s">
        <v>24</v>
      </c>
      <c r="L169">
        <v>35</v>
      </c>
      <c r="M169" t="str">
        <f t="shared" si="2"/>
        <v>Middle Age</v>
      </c>
      <c r="N169" t="s">
        <v>18</v>
      </c>
    </row>
    <row r="170" spans="1:14" x14ac:dyDescent="0.35">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5">
        <v>130000</v>
      </c>
      <c r="E172">
        <v>4</v>
      </c>
      <c r="F172" t="s">
        <v>19</v>
      </c>
      <c r="G172" t="s">
        <v>21</v>
      </c>
      <c r="H172" t="s">
        <v>15</v>
      </c>
      <c r="I172">
        <v>4</v>
      </c>
      <c r="J172" t="s">
        <v>23</v>
      </c>
      <c r="K172" t="s">
        <v>17</v>
      </c>
      <c r="L172">
        <v>61</v>
      </c>
      <c r="M172" t="str">
        <f t="shared" si="2"/>
        <v>Old Age</v>
      </c>
      <c r="N172" t="s">
        <v>15</v>
      </c>
    </row>
    <row r="173" spans="1:14" x14ac:dyDescent="0.35">
      <c r="A173">
        <v>18144</v>
      </c>
      <c r="B173" t="s">
        <v>36</v>
      </c>
      <c r="C173" t="s">
        <v>38</v>
      </c>
      <c r="D173" s="5">
        <v>80000</v>
      </c>
      <c r="E173">
        <v>5</v>
      </c>
      <c r="F173" t="s">
        <v>13</v>
      </c>
      <c r="G173" t="s">
        <v>28</v>
      </c>
      <c r="H173" t="s">
        <v>15</v>
      </c>
      <c r="I173">
        <v>2</v>
      </c>
      <c r="J173" t="s">
        <v>22</v>
      </c>
      <c r="K173" t="s">
        <v>17</v>
      </c>
      <c r="L173">
        <v>61</v>
      </c>
      <c r="M173" t="str">
        <f t="shared" si="2"/>
        <v>Old Age</v>
      </c>
      <c r="N173" t="s">
        <v>18</v>
      </c>
    </row>
    <row r="174" spans="1:14" x14ac:dyDescent="0.35">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5">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5">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5">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5">
        <v>160000</v>
      </c>
      <c r="E180">
        <v>4</v>
      </c>
      <c r="F180" t="s">
        <v>19</v>
      </c>
      <c r="G180" t="s">
        <v>21</v>
      </c>
      <c r="H180" t="s">
        <v>18</v>
      </c>
      <c r="I180">
        <v>2</v>
      </c>
      <c r="J180" t="s">
        <v>44</v>
      </c>
      <c r="K180" t="s">
        <v>17</v>
      </c>
      <c r="L180">
        <v>55</v>
      </c>
      <c r="M180" t="str">
        <f t="shared" si="2"/>
        <v>Old Age</v>
      </c>
      <c r="N180" t="s">
        <v>15</v>
      </c>
    </row>
    <row r="181" spans="1:14" x14ac:dyDescent="0.35">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5">
        <v>30000</v>
      </c>
      <c r="E183">
        <v>3</v>
      </c>
      <c r="F183" t="s">
        <v>19</v>
      </c>
      <c r="G183" t="s">
        <v>20</v>
      </c>
      <c r="H183" t="s">
        <v>18</v>
      </c>
      <c r="I183">
        <v>2</v>
      </c>
      <c r="J183" t="s">
        <v>26</v>
      </c>
      <c r="K183" t="s">
        <v>24</v>
      </c>
      <c r="L183">
        <v>55</v>
      </c>
      <c r="M183" t="str">
        <f t="shared" si="2"/>
        <v>Old Age</v>
      </c>
      <c r="N183" t="s">
        <v>15</v>
      </c>
    </row>
    <row r="184" spans="1:14" x14ac:dyDescent="0.35">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5">
        <v>40000</v>
      </c>
      <c r="E185">
        <v>2</v>
      </c>
      <c r="F185" t="s">
        <v>13</v>
      </c>
      <c r="G185" t="s">
        <v>28</v>
      </c>
      <c r="H185" t="s">
        <v>15</v>
      </c>
      <c r="I185">
        <v>2</v>
      </c>
      <c r="J185" t="s">
        <v>23</v>
      </c>
      <c r="K185" t="s">
        <v>24</v>
      </c>
      <c r="L185">
        <v>66</v>
      </c>
      <c r="M185" t="str">
        <f t="shared" si="2"/>
        <v>Old Age</v>
      </c>
      <c r="N185" t="s">
        <v>15</v>
      </c>
    </row>
    <row r="186" spans="1:14" x14ac:dyDescent="0.35">
      <c r="A186">
        <v>28918</v>
      </c>
      <c r="B186" t="s">
        <v>36</v>
      </c>
      <c r="C186" t="s">
        <v>38</v>
      </c>
      <c r="D186" s="5">
        <v>130000</v>
      </c>
      <c r="E186">
        <v>4</v>
      </c>
      <c r="F186" t="s">
        <v>27</v>
      </c>
      <c r="G186" t="s">
        <v>28</v>
      </c>
      <c r="H186" t="s">
        <v>18</v>
      </c>
      <c r="I186">
        <v>4</v>
      </c>
      <c r="J186" t="s">
        <v>44</v>
      </c>
      <c r="K186" t="s">
        <v>17</v>
      </c>
      <c r="L186">
        <v>58</v>
      </c>
      <c r="M186" t="str">
        <f t="shared" si="2"/>
        <v>Old Age</v>
      </c>
      <c r="N186" t="s">
        <v>18</v>
      </c>
    </row>
    <row r="187" spans="1:14" x14ac:dyDescent="0.35">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5">
        <v>30000</v>
      </c>
      <c r="E188">
        <v>3</v>
      </c>
      <c r="F188" t="s">
        <v>27</v>
      </c>
      <c r="G188" t="s">
        <v>14</v>
      </c>
      <c r="H188" t="s">
        <v>18</v>
      </c>
      <c r="I188">
        <v>2</v>
      </c>
      <c r="J188" t="s">
        <v>26</v>
      </c>
      <c r="K188" t="s">
        <v>24</v>
      </c>
      <c r="L188">
        <v>56</v>
      </c>
      <c r="M188" t="str">
        <f t="shared" si="2"/>
        <v>Old Age</v>
      </c>
      <c r="N188" t="s">
        <v>15</v>
      </c>
    </row>
    <row r="189" spans="1:14" x14ac:dyDescent="0.35">
      <c r="A189">
        <v>18151</v>
      </c>
      <c r="B189" t="s">
        <v>37</v>
      </c>
      <c r="C189" t="s">
        <v>39</v>
      </c>
      <c r="D189" s="5">
        <v>80000</v>
      </c>
      <c r="E189">
        <v>5</v>
      </c>
      <c r="F189" t="s">
        <v>19</v>
      </c>
      <c r="G189" t="s">
        <v>21</v>
      </c>
      <c r="H189" t="s">
        <v>18</v>
      </c>
      <c r="I189">
        <v>2</v>
      </c>
      <c r="J189" t="s">
        <v>44</v>
      </c>
      <c r="K189" t="s">
        <v>17</v>
      </c>
      <c r="L189">
        <v>59</v>
      </c>
      <c r="M189" t="str">
        <f t="shared" si="2"/>
        <v>Old Age</v>
      </c>
      <c r="N189" t="s">
        <v>18</v>
      </c>
    </row>
    <row r="190" spans="1:14" x14ac:dyDescent="0.35">
      <c r="A190">
        <v>20606</v>
      </c>
      <c r="B190" t="s">
        <v>36</v>
      </c>
      <c r="C190" t="s">
        <v>38</v>
      </c>
      <c r="D190" s="5">
        <v>70000</v>
      </c>
      <c r="E190">
        <v>0</v>
      </c>
      <c r="F190" t="s">
        <v>13</v>
      </c>
      <c r="G190" t="s">
        <v>21</v>
      </c>
      <c r="H190" t="s">
        <v>15</v>
      </c>
      <c r="I190">
        <v>4</v>
      </c>
      <c r="J190" t="s">
        <v>44</v>
      </c>
      <c r="K190" t="s">
        <v>24</v>
      </c>
      <c r="L190">
        <v>32</v>
      </c>
      <c r="M190" t="str">
        <f t="shared" si="2"/>
        <v>Middle Age</v>
      </c>
      <c r="N190" t="s">
        <v>15</v>
      </c>
    </row>
    <row r="191" spans="1:14" x14ac:dyDescent="0.35">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5">
        <v>30000</v>
      </c>
      <c r="E192">
        <v>3</v>
      </c>
      <c r="F192" t="s">
        <v>27</v>
      </c>
      <c r="G192" t="s">
        <v>14</v>
      </c>
      <c r="H192" t="s">
        <v>15</v>
      </c>
      <c r="I192">
        <v>2</v>
      </c>
      <c r="J192" t="s">
        <v>23</v>
      </c>
      <c r="K192" t="s">
        <v>24</v>
      </c>
      <c r="L192">
        <v>55</v>
      </c>
      <c r="M192" t="str">
        <f t="shared" si="2"/>
        <v>Old Age</v>
      </c>
      <c r="N192" t="s">
        <v>18</v>
      </c>
    </row>
    <row r="193" spans="1:14" x14ac:dyDescent="0.35">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5">
        <v>80000</v>
      </c>
      <c r="E194">
        <v>5</v>
      </c>
      <c r="F194" t="s">
        <v>13</v>
      </c>
      <c r="G194" t="s">
        <v>28</v>
      </c>
      <c r="H194" t="s">
        <v>15</v>
      </c>
      <c r="I194">
        <v>2</v>
      </c>
      <c r="J194" t="s">
        <v>44</v>
      </c>
      <c r="K194" t="s">
        <v>17</v>
      </c>
      <c r="L194">
        <v>62</v>
      </c>
      <c r="M194" t="str">
        <f t="shared" si="2"/>
        <v>Old Age</v>
      </c>
      <c r="N194" t="s">
        <v>18</v>
      </c>
    </row>
    <row r="195" spans="1:14" x14ac:dyDescent="0.35">
      <c r="A195">
        <v>26032</v>
      </c>
      <c r="B195" t="s">
        <v>36</v>
      </c>
      <c r="C195" t="s">
        <v>38</v>
      </c>
      <c r="D195" s="5">
        <v>70000</v>
      </c>
      <c r="E195">
        <v>5</v>
      </c>
      <c r="F195" t="s">
        <v>13</v>
      </c>
      <c r="G195" t="s">
        <v>21</v>
      </c>
      <c r="H195" t="s">
        <v>15</v>
      </c>
      <c r="I195">
        <v>4</v>
      </c>
      <c r="J195" t="s">
        <v>44</v>
      </c>
      <c r="K195" t="s">
        <v>24</v>
      </c>
      <c r="L195">
        <v>41</v>
      </c>
      <c r="M195" t="str">
        <f t="shared" ref="M195:M258" si="3">IF(L195&lt;=31,"Adolescent", IF(L195&gt;=54, "Old Age","Middle Age"))</f>
        <v>Middle Age</v>
      </c>
      <c r="N195" t="s">
        <v>18</v>
      </c>
    </row>
    <row r="196" spans="1:14" x14ac:dyDescent="0.35">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5">
        <v>60000</v>
      </c>
      <c r="E199">
        <v>2</v>
      </c>
      <c r="F199" t="s">
        <v>31</v>
      </c>
      <c r="G199" t="s">
        <v>28</v>
      </c>
      <c r="H199" t="s">
        <v>15</v>
      </c>
      <c r="I199">
        <v>1</v>
      </c>
      <c r="J199" t="s">
        <v>16</v>
      </c>
      <c r="K199" t="s">
        <v>24</v>
      </c>
      <c r="L199">
        <v>67</v>
      </c>
      <c r="M199" t="str">
        <f t="shared" si="3"/>
        <v>Old Age</v>
      </c>
      <c r="N199" t="s">
        <v>15</v>
      </c>
    </row>
    <row r="200" spans="1:14" x14ac:dyDescent="0.35">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5">
        <v>80000</v>
      </c>
      <c r="E201">
        <v>0</v>
      </c>
      <c r="F201" t="s">
        <v>13</v>
      </c>
      <c r="G201" t="s">
        <v>21</v>
      </c>
      <c r="H201" t="s">
        <v>18</v>
      </c>
      <c r="I201">
        <v>3</v>
      </c>
      <c r="J201" t="s">
        <v>44</v>
      </c>
      <c r="K201" t="s">
        <v>24</v>
      </c>
      <c r="L201">
        <v>33</v>
      </c>
      <c r="M201" t="str">
        <f t="shared" si="3"/>
        <v>Middle Age</v>
      </c>
      <c r="N201" t="s">
        <v>15</v>
      </c>
    </row>
    <row r="202" spans="1:14" x14ac:dyDescent="0.35">
      <c r="A202">
        <v>24584</v>
      </c>
      <c r="B202" t="s">
        <v>37</v>
      </c>
      <c r="C202" t="s">
        <v>39</v>
      </c>
      <c r="D202" s="5">
        <v>60000</v>
      </c>
      <c r="E202">
        <v>0</v>
      </c>
      <c r="F202" t="s">
        <v>13</v>
      </c>
      <c r="G202" t="s">
        <v>21</v>
      </c>
      <c r="H202" t="s">
        <v>18</v>
      </c>
      <c r="I202">
        <v>3</v>
      </c>
      <c r="J202" t="s">
        <v>22</v>
      </c>
      <c r="K202" t="s">
        <v>24</v>
      </c>
      <c r="L202">
        <v>31</v>
      </c>
      <c r="M202" t="str">
        <f t="shared" si="3"/>
        <v>Adolescent</v>
      </c>
      <c r="N202" t="s">
        <v>18</v>
      </c>
    </row>
    <row r="203" spans="1:14" x14ac:dyDescent="0.35">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5">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5">
        <v>90000</v>
      </c>
      <c r="E208">
        <v>5</v>
      </c>
      <c r="F208" t="s">
        <v>19</v>
      </c>
      <c r="G208" t="s">
        <v>21</v>
      </c>
      <c r="H208" t="s">
        <v>18</v>
      </c>
      <c r="I208">
        <v>2</v>
      </c>
      <c r="J208" t="s">
        <v>44</v>
      </c>
      <c r="K208" t="s">
        <v>17</v>
      </c>
      <c r="L208">
        <v>62</v>
      </c>
      <c r="M208" t="str">
        <f t="shared" si="3"/>
        <v>Old Age</v>
      </c>
      <c r="N208" t="s">
        <v>18</v>
      </c>
    </row>
    <row r="209" spans="1:14" x14ac:dyDescent="0.35">
      <c r="A209">
        <v>28729</v>
      </c>
      <c r="B209" t="s">
        <v>37</v>
      </c>
      <c r="C209" t="s">
        <v>38</v>
      </c>
      <c r="D209" s="5">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5">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5">
        <v>70000</v>
      </c>
      <c r="E215">
        <v>0</v>
      </c>
      <c r="F215" t="s">
        <v>13</v>
      </c>
      <c r="G215" t="s">
        <v>21</v>
      </c>
      <c r="H215" t="s">
        <v>18</v>
      </c>
      <c r="I215">
        <v>4</v>
      </c>
      <c r="J215" t="s">
        <v>44</v>
      </c>
      <c r="K215" t="s">
        <v>24</v>
      </c>
      <c r="L215">
        <v>31</v>
      </c>
      <c r="M215" t="str">
        <f t="shared" si="3"/>
        <v>Adolescent</v>
      </c>
      <c r="N215" t="s">
        <v>15</v>
      </c>
    </row>
    <row r="216" spans="1:14" x14ac:dyDescent="0.35">
      <c r="A216">
        <v>25553</v>
      </c>
      <c r="B216" t="s">
        <v>36</v>
      </c>
      <c r="C216" t="s">
        <v>39</v>
      </c>
      <c r="D216" s="5">
        <v>30000</v>
      </c>
      <c r="E216">
        <v>1</v>
      </c>
      <c r="F216" t="s">
        <v>13</v>
      </c>
      <c r="G216" t="s">
        <v>20</v>
      </c>
      <c r="H216" t="s">
        <v>15</v>
      </c>
      <c r="I216">
        <v>0</v>
      </c>
      <c r="J216" t="s">
        <v>16</v>
      </c>
      <c r="K216" t="s">
        <v>17</v>
      </c>
      <c r="L216">
        <v>65</v>
      </c>
      <c r="M216" t="str">
        <f t="shared" si="3"/>
        <v>Old Age</v>
      </c>
      <c r="N216" t="s">
        <v>15</v>
      </c>
    </row>
    <row r="217" spans="1:14" x14ac:dyDescent="0.35">
      <c r="A217">
        <v>27951</v>
      </c>
      <c r="B217" t="s">
        <v>37</v>
      </c>
      <c r="C217" t="s">
        <v>39</v>
      </c>
      <c r="D217" s="5">
        <v>80000</v>
      </c>
      <c r="E217">
        <v>4</v>
      </c>
      <c r="F217" t="s">
        <v>19</v>
      </c>
      <c r="G217" t="s">
        <v>21</v>
      </c>
      <c r="H217" t="s">
        <v>18</v>
      </c>
      <c r="I217">
        <v>2</v>
      </c>
      <c r="J217" t="s">
        <v>22</v>
      </c>
      <c r="K217" t="s">
        <v>17</v>
      </c>
      <c r="L217">
        <v>54</v>
      </c>
      <c r="M217" t="str">
        <f t="shared" si="3"/>
        <v>Old Age</v>
      </c>
      <c r="N217" t="s">
        <v>15</v>
      </c>
    </row>
    <row r="218" spans="1:14" x14ac:dyDescent="0.35">
      <c r="A218">
        <v>25026</v>
      </c>
      <c r="B218" t="s">
        <v>36</v>
      </c>
      <c r="C218" t="s">
        <v>39</v>
      </c>
      <c r="D218" s="5">
        <v>20000</v>
      </c>
      <c r="E218">
        <v>2</v>
      </c>
      <c r="F218" t="s">
        <v>29</v>
      </c>
      <c r="G218" t="s">
        <v>20</v>
      </c>
      <c r="H218" t="s">
        <v>15</v>
      </c>
      <c r="I218">
        <v>3</v>
      </c>
      <c r="J218" t="s">
        <v>23</v>
      </c>
      <c r="K218" t="s">
        <v>24</v>
      </c>
      <c r="L218">
        <v>54</v>
      </c>
      <c r="M218" t="str">
        <f t="shared" si="3"/>
        <v>Old Age</v>
      </c>
      <c r="N218" t="s">
        <v>18</v>
      </c>
    </row>
    <row r="219" spans="1:14" x14ac:dyDescent="0.35">
      <c r="A219">
        <v>13673</v>
      </c>
      <c r="B219" t="s">
        <v>37</v>
      </c>
      <c r="C219" t="s">
        <v>38</v>
      </c>
      <c r="D219" s="5">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5">
        <v>70000</v>
      </c>
      <c r="E225">
        <v>5</v>
      </c>
      <c r="F225" t="s">
        <v>13</v>
      </c>
      <c r="G225" t="s">
        <v>21</v>
      </c>
      <c r="H225" t="s">
        <v>15</v>
      </c>
      <c r="I225">
        <v>4</v>
      </c>
      <c r="J225" t="s">
        <v>44</v>
      </c>
      <c r="K225" t="s">
        <v>24</v>
      </c>
      <c r="L225">
        <v>39</v>
      </c>
      <c r="M225" t="str">
        <f t="shared" si="3"/>
        <v>Middle Age</v>
      </c>
      <c r="N225" t="s">
        <v>18</v>
      </c>
    </row>
    <row r="226" spans="1:14" x14ac:dyDescent="0.35">
      <c r="A226">
        <v>19650</v>
      </c>
      <c r="B226" t="s">
        <v>36</v>
      </c>
      <c r="C226" t="s">
        <v>38</v>
      </c>
      <c r="D226" s="5">
        <v>30000</v>
      </c>
      <c r="E226">
        <v>2</v>
      </c>
      <c r="F226" t="s">
        <v>19</v>
      </c>
      <c r="G226" t="s">
        <v>20</v>
      </c>
      <c r="H226" t="s">
        <v>18</v>
      </c>
      <c r="I226">
        <v>2</v>
      </c>
      <c r="J226" t="s">
        <v>16</v>
      </c>
      <c r="K226" t="s">
        <v>24</v>
      </c>
      <c r="L226">
        <v>67</v>
      </c>
      <c r="M226" t="str">
        <f t="shared" si="3"/>
        <v>Old Age</v>
      </c>
      <c r="N226" t="s">
        <v>18</v>
      </c>
    </row>
    <row r="227" spans="1:14" x14ac:dyDescent="0.35">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5">
        <v>80000</v>
      </c>
      <c r="E231">
        <v>5</v>
      </c>
      <c r="F231" t="s">
        <v>27</v>
      </c>
      <c r="G231" t="s">
        <v>28</v>
      </c>
      <c r="H231" t="s">
        <v>15</v>
      </c>
      <c r="I231">
        <v>3</v>
      </c>
      <c r="J231" t="s">
        <v>44</v>
      </c>
      <c r="K231" t="s">
        <v>17</v>
      </c>
      <c r="L231">
        <v>57</v>
      </c>
      <c r="M231" t="str">
        <f t="shared" si="3"/>
        <v>Old Age</v>
      </c>
      <c r="N231" t="s">
        <v>18</v>
      </c>
    </row>
    <row r="232" spans="1:14" x14ac:dyDescent="0.35">
      <c r="A232">
        <v>22830</v>
      </c>
      <c r="B232" t="s">
        <v>36</v>
      </c>
      <c r="C232" t="s">
        <v>39</v>
      </c>
      <c r="D232" s="5">
        <v>120000</v>
      </c>
      <c r="E232">
        <v>4</v>
      </c>
      <c r="F232" t="s">
        <v>19</v>
      </c>
      <c r="G232" t="s">
        <v>28</v>
      </c>
      <c r="H232" t="s">
        <v>15</v>
      </c>
      <c r="I232">
        <v>3</v>
      </c>
      <c r="J232" t="s">
        <v>44</v>
      </c>
      <c r="K232" t="s">
        <v>17</v>
      </c>
      <c r="L232">
        <v>56</v>
      </c>
      <c r="M232" t="str">
        <f t="shared" si="3"/>
        <v>Old Age</v>
      </c>
      <c r="N232" t="s">
        <v>18</v>
      </c>
    </row>
    <row r="233" spans="1:14" x14ac:dyDescent="0.35">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5">
        <v>90000</v>
      </c>
      <c r="E236">
        <v>0</v>
      </c>
      <c r="F236" t="s">
        <v>13</v>
      </c>
      <c r="G236" t="s">
        <v>21</v>
      </c>
      <c r="H236" t="s">
        <v>18</v>
      </c>
      <c r="I236">
        <v>4</v>
      </c>
      <c r="J236" t="s">
        <v>44</v>
      </c>
      <c r="K236" t="s">
        <v>24</v>
      </c>
      <c r="L236">
        <v>35</v>
      </c>
      <c r="M236" t="str">
        <f t="shared" si="3"/>
        <v>Middle Age</v>
      </c>
      <c r="N236" t="s">
        <v>15</v>
      </c>
    </row>
    <row r="237" spans="1:14" x14ac:dyDescent="0.35">
      <c r="A237">
        <v>11340</v>
      </c>
      <c r="B237" t="s">
        <v>36</v>
      </c>
      <c r="C237" t="s">
        <v>38</v>
      </c>
      <c r="D237" s="5">
        <v>10000</v>
      </c>
      <c r="E237">
        <v>1</v>
      </c>
      <c r="F237" t="s">
        <v>31</v>
      </c>
      <c r="G237" t="s">
        <v>20</v>
      </c>
      <c r="H237" t="s">
        <v>15</v>
      </c>
      <c r="I237">
        <v>0</v>
      </c>
      <c r="J237" t="s">
        <v>16</v>
      </c>
      <c r="K237" t="s">
        <v>17</v>
      </c>
      <c r="L237">
        <v>70</v>
      </c>
      <c r="M237" t="str">
        <f t="shared" si="3"/>
        <v>Old Age</v>
      </c>
      <c r="N237" t="s">
        <v>15</v>
      </c>
    </row>
    <row r="238" spans="1:14" x14ac:dyDescent="0.35">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5">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5">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5">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5">
        <v>120000</v>
      </c>
      <c r="E246">
        <v>3</v>
      </c>
      <c r="F246" t="s">
        <v>13</v>
      </c>
      <c r="G246" t="s">
        <v>28</v>
      </c>
      <c r="H246" t="s">
        <v>18</v>
      </c>
      <c r="I246">
        <v>2</v>
      </c>
      <c r="J246" t="s">
        <v>44</v>
      </c>
      <c r="K246" t="s">
        <v>17</v>
      </c>
      <c r="L246">
        <v>52</v>
      </c>
      <c r="M246" t="str">
        <f t="shared" si="3"/>
        <v>Middle Age</v>
      </c>
      <c r="N246" t="s">
        <v>15</v>
      </c>
    </row>
    <row r="247" spans="1:14" x14ac:dyDescent="0.35">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5">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5">
        <v>100000</v>
      </c>
      <c r="E249">
        <v>0</v>
      </c>
      <c r="F249" t="s">
        <v>27</v>
      </c>
      <c r="G249" t="s">
        <v>28</v>
      </c>
      <c r="H249" t="s">
        <v>15</v>
      </c>
      <c r="I249">
        <v>4</v>
      </c>
      <c r="J249" t="s">
        <v>44</v>
      </c>
      <c r="K249" t="s">
        <v>24</v>
      </c>
      <c r="L249">
        <v>34</v>
      </c>
      <c r="M249" t="str">
        <f t="shared" si="3"/>
        <v>Middle Age</v>
      </c>
      <c r="N249" t="s">
        <v>15</v>
      </c>
    </row>
    <row r="250" spans="1:14" x14ac:dyDescent="0.35">
      <c r="A250">
        <v>13981</v>
      </c>
      <c r="B250" t="s">
        <v>36</v>
      </c>
      <c r="C250" t="s">
        <v>38</v>
      </c>
      <c r="D250" s="5">
        <v>10000</v>
      </c>
      <c r="E250">
        <v>5</v>
      </c>
      <c r="F250" t="s">
        <v>27</v>
      </c>
      <c r="G250" t="s">
        <v>14</v>
      </c>
      <c r="H250" t="s">
        <v>18</v>
      </c>
      <c r="I250">
        <v>3</v>
      </c>
      <c r="J250" t="s">
        <v>26</v>
      </c>
      <c r="K250" t="s">
        <v>24</v>
      </c>
      <c r="L250">
        <v>62</v>
      </c>
      <c r="M250" t="str">
        <f t="shared" si="3"/>
        <v>Old Age</v>
      </c>
      <c r="N250" t="s">
        <v>18</v>
      </c>
    </row>
    <row r="251" spans="1:14" x14ac:dyDescent="0.35">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5">
        <v>100000</v>
      </c>
      <c r="E252">
        <v>5</v>
      </c>
      <c r="F252" t="s">
        <v>31</v>
      </c>
      <c r="G252" t="s">
        <v>28</v>
      </c>
      <c r="H252" t="s">
        <v>18</v>
      </c>
      <c r="I252">
        <v>1</v>
      </c>
      <c r="J252" t="s">
        <v>26</v>
      </c>
      <c r="K252" t="s">
        <v>24</v>
      </c>
      <c r="L252">
        <v>78</v>
      </c>
      <c r="M252" t="str">
        <f t="shared" si="3"/>
        <v>Old Age</v>
      </c>
      <c r="N252" t="s">
        <v>15</v>
      </c>
    </row>
    <row r="253" spans="1:14" x14ac:dyDescent="0.35">
      <c r="A253">
        <v>18172</v>
      </c>
      <c r="B253" t="s">
        <v>36</v>
      </c>
      <c r="C253" t="s">
        <v>39</v>
      </c>
      <c r="D253" s="5">
        <v>130000</v>
      </c>
      <c r="E253">
        <v>4</v>
      </c>
      <c r="F253" t="s">
        <v>27</v>
      </c>
      <c r="G253" t="s">
        <v>21</v>
      </c>
      <c r="H253" t="s">
        <v>15</v>
      </c>
      <c r="I253">
        <v>3</v>
      </c>
      <c r="J253" t="s">
        <v>16</v>
      </c>
      <c r="K253" t="s">
        <v>17</v>
      </c>
      <c r="L253">
        <v>55</v>
      </c>
      <c r="M253" t="str">
        <f t="shared" si="3"/>
        <v>Old Age</v>
      </c>
      <c r="N253" t="s">
        <v>18</v>
      </c>
    </row>
    <row r="254" spans="1:14" x14ac:dyDescent="0.35">
      <c r="A254">
        <v>12666</v>
      </c>
      <c r="B254" t="s">
        <v>37</v>
      </c>
      <c r="C254" t="s">
        <v>39</v>
      </c>
      <c r="D254" s="5">
        <v>60000</v>
      </c>
      <c r="E254">
        <v>0</v>
      </c>
      <c r="F254" t="s">
        <v>13</v>
      </c>
      <c r="G254" t="s">
        <v>21</v>
      </c>
      <c r="H254" t="s">
        <v>18</v>
      </c>
      <c r="I254">
        <v>4</v>
      </c>
      <c r="J254" t="s">
        <v>22</v>
      </c>
      <c r="K254" t="s">
        <v>24</v>
      </c>
      <c r="L254">
        <v>31</v>
      </c>
      <c r="M254" t="str">
        <f t="shared" si="3"/>
        <v>Adolescent</v>
      </c>
      <c r="N254" t="s">
        <v>18</v>
      </c>
    </row>
    <row r="255" spans="1:14" x14ac:dyDescent="0.35">
      <c r="A255">
        <v>20598</v>
      </c>
      <c r="B255" t="s">
        <v>36</v>
      </c>
      <c r="C255" t="s">
        <v>39</v>
      </c>
      <c r="D255" s="5">
        <v>100000</v>
      </c>
      <c r="E255">
        <v>3</v>
      </c>
      <c r="F255" t="s">
        <v>29</v>
      </c>
      <c r="G255" t="s">
        <v>21</v>
      </c>
      <c r="H255" t="s">
        <v>15</v>
      </c>
      <c r="I255">
        <v>0</v>
      </c>
      <c r="J255" t="s">
        <v>44</v>
      </c>
      <c r="K255" t="s">
        <v>17</v>
      </c>
      <c r="L255">
        <v>59</v>
      </c>
      <c r="M255" t="str">
        <f t="shared" si="3"/>
        <v>Old Age</v>
      </c>
      <c r="N255" t="s">
        <v>15</v>
      </c>
    </row>
    <row r="256" spans="1:14" x14ac:dyDescent="0.35">
      <c r="A256">
        <v>21375</v>
      </c>
      <c r="B256" t="s">
        <v>37</v>
      </c>
      <c r="C256" t="s">
        <v>39</v>
      </c>
      <c r="D256" s="5">
        <v>20000</v>
      </c>
      <c r="E256">
        <v>2</v>
      </c>
      <c r="F256" t="s">
        <v>29</v>
      </c>
      <c r="G256" t="s">
        <v>20</v>
      </c>
      <c r="H256" t="s">
        <v>15</v>
      </c>
      <c r="I256">
        <v>2</v>
      </c>
      <c r="J256" t="s">
        <v>23</v>
      </c>
      <c r="K256" t="s">
        <v>24</v>
      </c>
      <c r="L256">
        <v>57</v>
      </c>
      <c r="M256" t="str">
        <f t="shared" si="3"/>
        <v>Old Age</v>
      </c>
      <c r="N256" t="s">
        <v>18</v>
      </c>
    </row>
    <row r="257" spans="1:14" x14ac:dyDescent="0.35">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5">
        <v>50000</v>
      </c>
      <c r="E259">
        <v>0</v>
      </c>
      <c r="F259" t="s">
        <v>31</v>
      </c>
      <c r="G259" t="s">
        <v>14</v>
      </c>
      <c r="H259" t="s">
        <v>15</v>
      </c>
      <c r="I259">
        <v>0</v>
      </c>
      <c r="J259" t="s">
        <v>16</v>
      </c>
      <c r="K259" t="s">
        <v>17</v>
      </c>
      <c r="L259">
        <v>36</v>
      </c>
      <c r="M259" t="str">
        <f t="shared" ref="M259:M322" si="4">IF(L259&lt;=31,"Adolescent", IF(L259&gt;=54, "Old Age","Middle Age"))</f>
        <v>Middle Age</v>
      </c>
      <c r="N259" t="s">
        <v>15</v>
      </c>
    </row>
    <row r="260" spans="1:14" x14ac:dyDescent="0.35">
      <c r="A260">
        <v>14193</v>
      </c>
      <c r="B260" t="s">
        <v>37</v>
      </c>
      <c r="C260" t="s">
        <v>38</v>
      </c>
      <c r="D260" s="5">
        <v>100000</v>
      </c>
      <c r="E260">
        <v>3</v>
      </c>
      <c r="F260" t="s">
        <v>19</v>
      </c>
      <c r="G260" t="s">
        <v>28</v>
      </c>
      <c r="H260" t="s">
        <v>15</v>
      </c>
      <c r="I260">
        <v>4</v>
      </c>
      <c r="J260" t="s">
        <v>44</v>
      </c>
      <c r="K260" t="s">
        <v>17</v>
      </c>
      <c r="L260">
        <v>56</v>
      </c>
      <c r="M260" t="str">
        <f t="shared" si="4"/>
        <v>Old Age</v>
      </c>
      <c r="N260" t="s">
        <v>18</v>
      </c>
    </row>
    <row r="261" spans="1:14" x14ac:dyDescent="0.35">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5">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5">
        <v>70000</v>
      </c>
      <c r="E265">
        <v>5</v>
      </c>
      <c r="F265" t="s">
        <v>13</v>
      </c>
      <c r="G265" t="s">
        <v>21</v>
      </c>
      <c r="H265" t="s">
        <v>15</v>
      </c>
      <c r="I265">
        <v>3</v>
      </c>
      <c r="J265" t="s">
        <v>44</v>
      </c>
      <c r="K265" t="s">
        <v>24</v>
      </c>
      <c r="L265">
        <v>39</v>
      </c>
      <c r="M265" t="str">
        <f t="shared" si="4"/>
        <v>Middle Age</v>
      </c>
      <c r="N265" t="s">
        <v>18</v>
      </c>
    </row>
    <row r="266" spans="1:14" x14ac:dyDescent="0.35">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5">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5">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5">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5">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5">
        <v>100000</v>
      </c>
      <c r="E280">
        <v>0</v>
      </c>
      <c r="F280" t="s">
        <v>27</v>
      </c>
      <c r="G280" t="s">
        <v>28</v>
      </c>
      <c r="H280" t="s">
        <v>15</v>
      </c>
      <c r="I280">
        <v>3</v>
      </c>
      <c r="J280" t="s">
        <v>44</v>
      </c>
      <c r="K280" t="s">
        <v>24</v>
      </c>
      <c r="L280">
        <v>35</v>
      </c>
      <c r="M280" t="str">
        <f t="shared" si="4"/>
        <v>Middle Age</v>
      </c>
      <c r="N280" t="s">
        <v>15</v>
      </c>
    </row>
    <row r="281" spans="1:14" x14ac:dyDescent="0.35">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5">
        <v>30000</v>
      </c>
      <c r="E291">
        <v>3</v>
      </c>
      <c r="F291" t="s">
        <v>27</v>
      </c>
      <c r="G291" t="s">
        <v>14</v>
      </c>
      <c r="H291" t="s">
        <v>15</v>
      </c>
      <c r="I291">
        <v>2</v>
      </c>
      <c r="J291" t="s">
        <v>23</v>
      </c>
      <c r="K291" t="s">
        <v>24</v>
      </c>
      <c r="L291">
        <v>54</v>
      </c>
      <c r="M291" t="str">
        <f t="shared" si="4"/>
        <v>Old Age</v>
      </c>
      <c r="N291" t="s">
        <v>15</v>
      </c>
    </row>
    <row r="292" spans="1:14" x14ac:dyDescent="0.35">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5">
        <v>110000</v>
      </c>
      <c r="E297">
        <v>0</v>
      </c>
      <c r="F297" t="s">
        <v>19</v>
      </c>
      <c r="G297" t="s">
        <v>28</v>
      </c>
      <c r="H297" t="s">
        <v>15</v>
      </c>
      <c r="I297">
        <v>3</v>
      </c>
      <c r="J297" t="s">
        <v>44</v>
      </c>
      <c r="K297" t="s">
        <v>24</v>
      </c>
      <c r="L297">
        <v>32</v>
      </c>
      <c r="M297" t="str">
        <f t="shared" si="4"/>
        <v>Middle Age</v>
      </c>
      <c r="N297" t="s">
        <v>15</v>
      </c>
    </row>
    <row r="298" spans="1:14" x14ac:dyDescent="0.35">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5">
        <v>90000</v>
      </c>
      <c r="E300">
        <v>4</v>
      </c>
      <c r="F300" t="s">
        <v>27</v>
      </c>
      <c r="G300" t="s">
        <v>21</v>
      </c>
      <c r="H300" t="s">
        <v>18</v>
      </c>
      <c r="I300">
        <v>2</v>
      </c>
      <c r="J300" t="s">
        <v>22</v>
      </c>
      <c r="K300" t="s">
        <v>17</v>
      </c>
      <c r="L300">
        <v>54</v>
      </c>
      <c r="M300" t="str">
        <f t="shared" si="4"/>
        <v>Old Age</v>
      </c>
      <c r="N300" t="s">
        <v>15</v>
      </c>
    </row>
    <row r="301" spans="1:14" x14ac:dyDescent="0.35">
      <c r="A301">
        <v>13136</v>
      </c>
      <c r="B301" t="s">
        <v>36</v>
      </c>
      <c r="C301" t="s">
        <v>38</v>
      </c>
      <c r="D301" s="5">
        <v>30000</v>
      </c>
      <c r="E301">
        <v>2</v>
      </c>
      <c r="F301" t="s">
        <v>19</v>
      </c>
      <c r="G301" t="s">
        <v>20</v>
      </c>
      <c r="H301" t="s">
        <v>18</v>
      </c>
      <c r="I301">
        <v>2</v>
      </c>
      <c r="J301" t="s">
        <v>23</v>
      </c>
      <c r="K301" t="s">
        <v>24</v>
      </c>
      <c r="L301">
        <v>69</v>
      </c>
      <c r="M301" t="str">
        <f t="shared" si="4"/>
        <v>Old Age</v>
      </c>
      <c r="N301" t="s">
        <v>18</v>
      </c>
    </row>
    <row r="302" spans="1:14" x14ac:dyDescent="0.35">
      <c r="A302">
        <v>25906</v>
      </c>
      <c r="B302" t="s">
        <v>37</v>
      </c>
      <c r="C302" t="s">
        <v>38</v>
      </c>
      <c r="D302" s="5">
        <v>10000</v>
      </c>
      <c r="E302">
        <v>5</v>
      </c>
      <c r="F302" t="s">
        <v>27</v>
      </c>
      <c r="G302" t="s">
        <v>14</v>
      </c>
      <c r="H302" t="s">
        <v>18</v>
      </c>
      <c r="I302">
        <v>2</v>
      </c>
      <c r="J302" t="s">
        <v>26</v>
      </c>
      <c r="K302" t="s">
        <v>24</v>
      </c>
      <c r="L302">
        <v>62</v>
      </c>
      <c r="M302" t="str">
        <f t="shared" si="4"/>
        <v>Old Age</v>
      </c>
      <c r="N302" t="s">
        <v>18</v>
      </c>
    </row>
    <row r="303" spans="1:14" x14ac:dyDescent="0.35">
      <c r="A303">
        <v>17926</v>
      </c>
      <c r="B303" t="s">
        <v>37</v>
      </c>
      <c r="C303" t="s">
        <v>38</v>
      </c>
      <c r="D303" s="5">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5">
        <v>30000</v>
      </c>
      <c r="E304">
        <v>1</v>
      </c>
      <c r="F304" t="s">
        <v>13</v>
      </c>
      <c r="G304" t="s">
        <v>20</v>
      </c>
      <c r="H304" t="s">
        <v>15</v>
      </c>
      <c r="I304">
        <v>0</v>
      </c>
      <c r="J304" t="s">
        <v>16</v>
      </c>
      <c r="K304" t="s">
        <v>17</v>
      </c>
      <c r="L304">
        <v>62</v>
      </c>
      <c r="M304" t="str">
        <f t="shared" si="4"/>
        <v>Old Age</v>
      </c>
      <c r="N304" t="s">
        <v>15</v>
      </c>
    </row>
    <row r="305" spans="1:14" x14ac:dyDescent="0.35">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5">
        <v>10000</v>
      </c>
      <c r="E307">
        <v>2</v>
      </c>
      <c r="F307" t="s">
        <v>29</v>
      </c>
      <c r="G307" t="s">
        <v>20</v>
      </c>
      <c r="H307" t="s">
        <v>15</v>
      </c>
      <c r="I307">
        <v>2</v>
      </c>
      <c r="J307" t="s">
        <v>23</v>
      </c>
      <c r="K307" t="s">
        <v>24</v>
      </c>
      <c r="L307">
        <v>58</v>
      </c>
      <c r="M307" t="str">
        <f t="shared" si="4"/>
        <v>Old Age</v>
      </c>
      <c r="N307" t="s">
        <v>18</v>
      </c>
    </row>
    <row r="308" spans="1:14" x14ac:dyDescent="0.35">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5">
        <v>10000</v>
      </c>
      <c r="E309">
        <v>2</v>
      </c>
      <c r="F309" t="s">
        <v>13</v>
      </c>
      <c r="G309" t="s">
        <v>20</v>
      </c>
      <c r="H309" t="s">
        <v>15</v>
      </c>
      <c r="I309">
        <v>1</v>
      </c>
      <c r="J309" t="s">
        <v>16</v>
      </c>
      <c r="K309" t="s">
        <v>17</v>
      </c>
      <c r="L309">
        <v>66</v>
      </c>
      <c r="M309" t="str">
        <f t="shared" si="4"/>
        <v>Old Age</v>
      </c>
      <c r="N309" t="s">
        <v>18</v>
      </c>
    </row>
    <row r="310" spans="1:14" x14ac:dyDescent="0.35">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5">
        <v>20000</v>
      </c>
      <c r="E314">
        <v>4</v>
      </c>
      <c r="F314" t="s">
        <v>27</v>
      </c>
      <c r="G314" t="s">
        <v>14</v>
      </c>
      <c r="H314" t="s">
        <v>15</v>
      </c>
      <c r="I314">
        <v>2</v>
      </c>
      <c r="J314" t="s">
        <v>23</v>
      </c>
      <c r="K314" t="s">
        <v>24</v>
      </c>
      <c r="L314">
        <v>58</v>
      </c>
      <c r="M314" t="str">
        <f t="shared" si="4"/>
        <v>Old Age</v>
      </c>
      <c r="N314" t="s">
        <v>15</v>
      </c>
    </row>
    <row r="315" spans="1:14" x14ac:dyDescent="0.35">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5">
        <v>50000</v>
      </c>
      <c r="E318">
        <v>2</v>
      </c>
      <c r="F318" t="s">
        <v>31</v>
      </c>
      <c r="G318" t="s">
        <v>28</v>
      </c>
      <c r="H318" t="s">
        <v>15</v>
      </c>
      <c r="I318">
        <v>1</v>
      </c>
      <c r="J318" t="s">
        <v>23</v>
      </c>
      <c r="K318" t="s">
        <v>24</v>
      </c>
      <c r="L318">
        <v>64</v>
      </c>
      <c r="M318" t="str">
        <f t="shared" si="4"/>
        <v>Old Age</v>
      </c>
      <c r="N318" t="s">
        <v>15</v>
      </c>
    </row>
    <row r="319" spans="1:14" x14ac:dyDescent="0.35">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5">
        <v>130000</v>
      </c>
      <c r="E320">
        <v>4</v>
      </c>
      <c r="F320" t="s">
        <v>19</v>
      </c>
      <c r="G320" t="s">
        <v>21</v>
      </c>
      <c r="H320" t="s">
        <v>18</v>
      </c>
      <c r="I320">
        <v>3</v>
      </c>
      <c r="J320" t="s">
        <v>44</v>
      </c>
      <c r="K320" t="s">
        <v>17</v>
      </c>
      <c r="L320">
        <v>54</v>
      </c>
      <c r="M320" t="str">
        <f t="shared" si="4"/>
        <v>Old Age</v>
      </c>
      <c r="N320" t="s">
        <v>18</v>
      </c>
    </row>
    <row r="321" spans="1:14" x14ac:dyDescent="0.35">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5">
        <v>160000</v>
      </c>
      <c r="E323">
        <v>0</v>
      </c>
      <c r="F323" t="s">
        <v>31</v>
      </c>
      <c r="G323" t="s">
        <v>28</v>
      </c>
      <c r="H323" t="s">
        <v>18</v>
      </c>
      <c r="I323">
        <v>3</v>
      </c>
      <c r="J323" t="s">
        <v>16</v>
      </c>
      <c r="K323" t="s">
        <v>24</v>
      </c>
      <c r="L323">
        <v>47</v>
      </c>
      <c r="M323" t="str">
        <f t="shared" ref="M323:M386" si="5">IF(L323&lt;=31,"Adolescent", IF(L323&gt;=54, "Old Age","Middle Age"))</f>
        <v>Middle Age</v>
      </c>
      <c r="N323" t="s">
        <v>15</v>
      </c>
    </row>
    <row r="324" spans="1:14" x14ac:dyDescent="0.35">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5">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5">
        <v>90000</v>
      </c>
      <c r="E331">
        <v>5</v>
      </c>
      <c r="F331" t="s">
        <v>29</v>
      </c>
      <c r="G331" t="s">
        <v>14</v>
      </c>
      <c r="H331" t="s">
        <v>15</v>
      </c>
      <c r="I331">
        <v>2</v>
      </c>
      <c r="J331" t="s">
        <v>44</v>
      </c>
      <c r="K331" t="s">
        <v>17</v>
      </c>
      <c r="L331">
        <v>59</v>
      </c>
      <c r="M331" t="str">
        <f t="shared" si="5"/>
        <v>Old Age</v>
      </c>
      <c r="N331" t="s">
        <v>18</v>
      </c>
    </row>
    <row r="332" spans="1:14" x14ac:dyDescent="0.35">
      <c r="A332">
        <v>24898</v>
      </c>
      <c r="B332" t="s">
        <v>37</v>
      </c>
      <c r="C332" t="s">
        <v>38</v>
      </c>
      <c r="D332" s="5">
        <v>80000</v>
      </c>
      <c r="E332">
        <v>0</v>
      </c>
      <c r="F332" t="s">
        <v>13</v>
      </c>
      <c r="G332" t="s">
        <v>21</v>
      </c>
      <c r="H332" t="s">
        <v>15</v>
      </c>
      <c r="I332">
        <v>3</v>
      </c>
      <c r="J332" t="s">
        <v>44</v>
      </c>
      <c r="K332" t="s">
        <v>24</v>
      </c>
      <c r="L332">
        <v>32</v>
      </c>
      <c r="M332" t="str">
        <f t="shared" si="5"/>
        <v>Middle Age</v>
      </c>
      <c r="N332" t="s">
        <v>18</v>
      </c>
    </row>
    <row r="333" spans="1:14" x14ac:dyDescent="0.35">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5">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5">
        <v>20000</v>
      </c>
      <c r="E341">
        <v>1</v>
      </c>
      <c r="F341" t="s">
        <v>13</v>
      </c>
      <c r="G341" t="s">
        <v>20</v>
      </c>
      <c r="H341" t="s">
        <v>15</v>
      </c>
      <c r="I341">
        <v>0</v>
      </c>
      <c r="J341" t="s">
        <v>16</v>
      </c>
      <c r="K341" t="s">
        <v>17</v>
      </c>
      <c r="L341">
        <v>66</v>
      </c>
      <c r="M341" t="str">
        <f t="shared" si="5"/>
        <v>Old Age</v>
      </c>
      <c r="N341" t="s">
        <v>18</v>
      </c>
    </row>
    <row r="342" spans="1:14" x14ac:dyDescent="0.35">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5">
        <v>30000</v>
      </c>
      <c r="E346">
        <v>0</v>
      </c>
      <c r="F346" t="s">
        <v>19</v>
      </c>
      <c r="G346" t="s">
        <v>20</v>
      </c>
      <c r="H346" t="s">
        <v>18</v>
      </c>
      <c r="I346">
        <v>1</v>
      </c>
      <c r="J346" t="s">
        <v>22</v>
      </c>
      <c r="K346" t="s">
        <v>17</v>
      </c>
      <c r="L346">
        <v>31</v>
      </c>
      <c r="M346" t="str">
        <f t="shared" si="5"/>
        <v>Adolescent</v>
      </c>
      <c r="N346" t="s">
        <v>15</v>
      </c>
    </row>
    <row r="347" spans="1:14" x14ac:dyDescent="0.35">
      <c r="A347">
        <v>17894</v>
      </c>
      <c r="B347" t="s">
        <v>36</v>
      </c>
      <c r="C347" t="s">
        <v>38</v>
      </c>
      <c r="D347" s="5">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5">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5">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5">
        <v>80000</v>
      </c>
      <c r="E357">
        <v>0</v>
      </c>
      <c r="F357" t="s">
        <v>13</v>
      </c>
      <c r="G357" t="s">
        <v>21</v>
      </c>
      <c r="H357" t="s">
        <v>15</v>
      </c>
      <c r="I357">
        <v>3</v>
      </c>
      <c r="J357" t="s">
        <v>44</v>
      </c>
      <c r="K357" t="s">
        <v>24</v>
      </c>
      <c r="L357">
        <v>32</v>
      </c>
      <c r="M357" t="str">
        <f t="shared" si="5"/>
        <v>Middle Age</v>
      </c>
      <c r="N357" t="s">
        <v>18</v>
      </c>
    </row>
    <row r="358" spans="1:14" x14ac:dyDescent="0.35">
      <c r="A358">
        <v>23608</v>
      </c>
      <c r="B358" t="s">
        <v>36</v>
      </c>
      <c r="C358" t="s">
        <v>38</v>
      </c>
      <c r="D358" s="5">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5">
        <v>90000</v>
      </c>
      <c r="E360">
        <v>4</v>
      </c>
      <c r="F360" t="s">
        <v>27</v>
      </c>
      <c r="G360" t="s">
        <v>28</v>
      </c>
      <c r="H360" t="s">
        <v>15</v>
      </c>
      <c r="I360">
        <v>3</v>
      </c>
      <c r="J360" t="s">
        <v>23</v>
      </c>
      <c r="K360" t="s">
        <v>17</v>
      </c>
      <c r="L360">
        <v>58</v>
      </c>
      <c r="M360" t="str">
        <f t="shared" si="5"/>
        <v>Old Age</v>
      </c>
      <c r="N360" t="s">
        <v>15</v>
      </c>
    </row>
    <row r="361" spans="1:14" x14ac:dyDescent="0.35">
      <c r="A361">
        <v>17230</v>
      </c>
      <c r="B361" t="s">
        <v>36</v>
      </c>
      <c r="C361" t="s">
        <v>39</v>
      </c>
      <c r="D361" s="5">
        <v>80000</v>
      </c>
      <c r="E361">
        <v>0</v>
      </c>
      <c r="F361" t="s">
        <v>13</v>
      </c>
      <c r="G361" t="s">
        <v>21</v>
      </c>
      <c r="H361" t="s">
        <v>15</v>
      </c>
      <c r="I361">
        <v>3</v>
      </c>
      <c r="J361" t="s">
        <v>44</v>
      </c>
      <c r="K361" t="s">
        <v>24</v>
      </c>
      <c r="L361">
        <v>30</v>
      </c>
      <c r="M361" t="str">
        <f t="shared" si="5"/>
        <v>Adolescent</v>
      </c>
      <c r="N361" t="s">
        <v>18</v>
      </c>
    </row>
    <row r="362" spans="1:14" x14ac:dyDescent="0.35">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5">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5">
        <v>40000</v>
      </c>
      <c r="E365">
        <v>2</v>
      </c>
      <c r="F365" t="s">
        <v>13</v>
      </c>
      <c r="G365" t="s">
        <v>28</v>
      </c>
      <c r="H365" t="s">
        <v>15</v>
      </c>
      <c r="I365">
        <v>2</v>
      </c>
      <c r="J365" t="s">
        <v>16</v>
      </c>
      <c r="K365" t="s">
        <v>24</v>
      </c>
      <c r="L365">
        <v>66</v>
      </c>
      <c r="M365" t="str">
        <f t="shared" si="5"/>
        <v>Old Age</v>
      </c>
      <c r="N365" t="s">
        <v>15</v>
      </c>
    </row>
    <row r="366" spans="1:14" x14ac:dyDescent="0.35">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5">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5">
        <v>30000</v>
      </c>
      <c r="E370">
        <v>2</v>
      </c>
      <c r="F370" t="s">
        <v>19</v>
      </c>
      <c r="G370" t="s">
        <v>20</v>
      </c>
      <c r="H370" t="s">
        <v>18</v>
      </c>
      <c r="I370">
        <v>2</v>
      </c>
      <c r="J370" t="s">
        <v>23</v>
      </c>
      <c r="K370" t="s">
        <v>24</v>
      </c>
      <c r="L370">
        <v>60</v>
      </c>
      <c r="M370" t="str">
        <f t="shared" si="5"/>
        <v>Old Age</v>
      </c>
      <c r="N370" t="s">
        <v>15</v>
      </c>
    </row>
    <row r="371" spans="1:14" x14ac:dyDescent="0.35">
      <c r="A371">
        <v>25752</v>
      </c>
      <c r="B371" t="s">
        <v>37</v>
      </c>
      <c r="C371" t="s">
        <v>38</v>
      </c>
      <c r="D371" s="5">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5">
        <v>100000</v>
      </c>
      <c r="E372">
        <v>4</v>
      </c>
      <c r="F372" t="s">
        <v>13</v>
      </c>
      <c r="G372" t="s">
        <v>21</v>
      </c>
      <c r="H372" t="s">
        <v>15</v>
      </c>
      <c r="I372">
        <v>1</v>
      </c>
      <c r="J372" t="s">
        <v>44</v>
      </c>
      <c r="K372" t="s">
        <v>24</v>
      </c>
      <c r="L372">
        <v>46</v>
      </c>
      <c r="M372" t="str">
        <f t="shared" si="5"/>
        <v>Middle Age</v>
      </c>
      <c r="N372" t="s">
        <v>18</v>
      </c>
    </row>
    <row r="373" spans="1:14" x14ac:dyDescent="0.35">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5">
        <v>40000</v>
      </c>
      <c r="E377">
        <v>1</v>
      </c>
      <c r="F377" t="s">
        <v>13</v>
      </c>
      <c r="G377" t="s">
        <v>14</v>
      </c>
      <c r="H377" t="s">
        <v>15</v>
      </c>
      <c r="I377">
        <v>1</v>
      </c>
      <c r="J377" t="s">
        <v>16</v>
      </c>
      <c r="K377" t="s">
        <v>17</v>
      </c>
      <c r="L377">
        <v>89</v>
      </c>
      <c r="M377" t="str">
        <f t="shared" si="5"/>
        <v>Old Age</v>
      </c>
      <c r="N377" t="s">
        <v>18</v>
      </c>
    </row>
    <row r="378" spans="1:14" x14ac:dyDescent="0.35">
      <c r="A378">
        <v>20977</v>
      </c>
      <c r="B378" t="s">
        <v>36</v>
      </c>
      <c r="C378" t="s">
        <v>39</v>
      </c>
      <c r="D378" s="5">
        <v>20000</v>
      </c>
      <c r="E378">
        <v>1</v>
      </c>
      <c r="F378" t="s">
        <v>13</v>
      </c>
      <c r="G378" t="s">
        <v>20</v>
      </c>
      <c r="H378" t="s">
        <v>15</v>
      </c>
      <c r="I378">
        <v>0</v>
      </c>
      <c r="J378" t="s">
        <v>16</v>
      </c>
      <c r="K378" t="s">
        <v>17</v>
      </c>
      <c r="L378">
        <v>64</v>
      </c>
      <c r="M378" t="str">
        <f t="shared" si="5"/>
        <v>Old Age</v>
      </c>
      <c r="N378" t="s">
        <v>15</v>
      </c>
    </row>
    <row r="379" spans="1:14" x14ac:dyDescent="0.35">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5">
        <v>30000</v>
      </c>
      <c r="E380">
        <v>3</v>
      </c>
      <c r="F380" t="s">
        <v>19</v>
      </c>
      <c r="G380" t="s">
        <v>20</v>
      </c>
      <c r="H380" t="s">
        <v>18</v>
      </c>
      <c r="I380">
        <v>2</v>
      </c>
      <c r="J380" t="s">
        <v>23</v>
      </c>
      <c r="K380" t="s">
        <v>24</v>
      </c>
      <c r="L380">
        <v>56</v>
      </c>
      <c r="M380" t="str">
        <f t="shared" si="5"/>
        <v>Old Age</v>
      </c>
      <c r="N380" t="s">
        <v>18</v>
      </c>
    </row>
    <row r="381" spans="1:14" x14ac:dyDescent="0.35">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5">
        <v>70000</v>
      </c>
      <c r="E382">
        <v>0</v>
      </c>
      <c r="F382" t="s">
        <v>13</v>
      </c>
      <c r="G382" t="s">
        <v>21</v>
      </c>
      <c r="H382" t="s">
        <v>18</v>
      </c>
      <c r="I382">
        <v>3</v>
      </c>
      <c r="J382" t="s">
        <v>44</v>
      </c>
      <c r="K382" t="s">
        <v>24</v>
      </c>
      <c r="L382">
        <v>30</v>
      </c>
      <c r="M382" t="str">
        <f t="shared" si="5"/>
        <v>Adolescent</v>
      </c>
      <c r="N382" t="s">
        <v>15</v>
      </c>
    </row>
    <row r="383" spans="1:14" x14ac:dyDescent="0.35">
      <c r="A383">
        <v>22974</v>
      </c>
      <c r="B383" t="s">
        <v>36</v>
      </c>
      <c r="C383" t="s">
        <v>38</v>
      </c>
      <c r="D383" s="5">
        <v>30000</v>
      </c>
      <c r="E383">
        <v>2</v>
      </c>
      <c r="F383" t="s">
        <v>19</v>
      </c>
      <c r="G383" t="s">
        <v>20</v>
      </c>
      <c r="H383" t="s">
        <v>15</v>
      </c>
      <c r="I383">
        <v>2</v>
      </c>
      <c r="J383" t="s">
        <v>23</v>
      </c>
      <c r="K383" t="s">
        <v>24</v>
      </c>
      <c r="L383">
        <v>69</v>
      </c>
      <c r="M383" t="str">
        <f t="shared" si="5"/>
        <v>Old Age</v>
      </c>
      <c r="N383" t="s">
        <v>18</v>
      </c>
    </row>
    <row r="384" spans="1:14" x14ac:dyDescent="0.35">
      <c r="A384">
        <v>13586</v>
      </c>
      <c r="B384" t="s">
        <v>36</v>
      </c>
      <c r="C384" t="s">
        <v>39</v>
      </c>
      <c r="D384" s="5">
        <v>80000</v>
      </c>
      <c r="E384">
        <v>4</v>
      </c>
      <c r="F384" t="s">
        <v>19</v>
      </c>
      <c r="G384" t="s">
        <v>21</v>
      </c>
      <c r="H384" t="s">
        <v>15</v>
      </c>
      <c r="I384">
        <v>2</v>
      </c>
      <c r="J384" t="s">
        <v>44</v>
      </c>
      <c r="K384" t="s">
        <v>17</v>
      </c>
      <c r="L384">
        <v>53</v>
      </c>
      <c r="M384" t="str">
        <f t="shared" si="5"/>
        <v>Middle Age</v>
      </c>
      <c r="N384" t="s">
        <v>18</v>
      </c>
    </row>
    <row r="385" spans="1:14" x14ac:dyDescent="0.35">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5">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5">
        <v>30000</v>
      </c>
      <c r="E387">
        <v>3</v>
      </c>
      <c r="F387" t="s">
        <v>19</v>
      </c>
      <c r="G387" t="s">
        <v>20</v>
      </c>
      <c r="H387" t="s">
        <v>15</v>
      </c>
      <c r="I387">
        <v>0</v>
      </c>
      <c r="J387" t="s">
        <v>16</v>
      </c>
      <c r="K387" t="s">
        <v>17</v>
      </c>
      <c r="L387">
        <v>43</v>
      </c>
      <c r="M387" t="str">
        <f t="shared" ref="M387:M450" si="6">IF(L387&lt;=31,"Adolescent", IF(L387&gt;=54, "Old Age","Middle Age"))</f>
        <v>Middle Age</v>
      </c>
      <c r="N387" t="s">
        <v>18</v>
      </c>
    </row>
    <row r="388" spans="1:14" x14ac:dyDescent="0.35">
      <c r="A388">
        <v>28957</v>
      </c>
      <c r="B388" t="s">
        <v>37</v>
      </c>
      <c r="C388" t="s">
        <v>38</v>
      </c>
      <c r="D388" s="5">
        <v>120000</v>
      </c>
      <c r="E388">
        <v>0</v>
      </c>
      <c r="F388" t="s">
        <v>29</v>
      </c>
      <c r="G388" t="s">
        <v>21</v>
      </c>
      <c r="H388" t="s">
        <v>15</v>
      </c>
      <c r="I388">
        <v>4</v>
      </c>
      <c r="J388" t="s">
        <v>44</v>
      </c>
      <c r="K388" t="s">
        <v>24</v>
      </c>
      <c r="L388">
        <v>34</v>
      </c>
      <c r="M388" t="str">
        <f t="shared" si="6"/>
        <v>Middle Age</v>
      </c>
      <c r="N388" t="s">
        <v>15</v>
      </c>
    </row>
    <row r="389" spans="1:14" x14ac:dyDescent="0.35">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5">
        <v>30000</v>
      </c>
      <c r="E390">
        <v>1</v>
      </c>
      <c r="F390" t="s">
        <v>13</v>
      </c>
      <c r="G390" t="s">
        <v>20</v>
      </c>
      <c r="H390" t="s">
        <v>15</v>
      </c>
      <c r="I390">
        <v>0</v>
      </c>
      <c r="J390" t="s">
        <v>16</v>
      </c>
      <c r="K390" t="s">
        <v>17</v>
      </c>
      <c r="L390">
        <v>64</v>
      </c>
      <c r="M390" t="str">
        <f t="shared" si="6"/>
        <v>Old Age</v>
      </c>
      <c r="N390" t="s">
        <v>18</v>
      </c>
    </row>
    <row r="391" spans="1:14" x14ac:dyDescent="0.35">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5">
        <v>10000</v>
      </c>
      <c r="E399">
        <v>2</v>
      </c>
      <c r="F399" t="s">
        <v>29</v>
      </c>
      <c r="G399" t="s">
        <v>20</v>
      </c>
      <c r="H399" t="s">
        <v>15</v>
      </c>
      <c r="I399">
        <v>2</v>
      </c>
      <c r="J399" t="s">
        <v>23</v>
      </c>
      <c r="K399" t="s">
        <v>24</v>
      </c>
      <c r="L399">
        <v>58</v>
      </c>
      <c r="M399" t="str">
        <f t="shared" si="6"/>
        <v>Old Age</v>
      </c>
      <c r="N399" t="s">
        <v>18</v>
      </c>
    </row>
    <row r="400" spans="1:14" x14ac:dyDescent="0.35">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5">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5">
        <v>110000</v>
      </c>
      <c r="E402">
        <v>3</v>
      </c>
      <c r="F402" t="s">
        <v>13</v>
      </c>
      <c r="G402" t="s">
        <v>28</v>
      </c>
      <c r="H402" t="s">
        <v>15</v>
      </c>
      <c r="I402">
        <v>4</v>
      </c>
      <c r="J402" t="s">
        <v>44</v>
      </c>
      <c r="K402" t="s">
        <v>17</v>
      </c>
      <c r="L402">
        <v>53</v>
      </c>
      <c r="M402" t="str">
        <f t="shared" si="6"/>
        <v>Middle Age</v>
      </c>
      <c r="N402" t="s">
        <v>18</v>
      </c>
    </row>
    <row r="403" spans="1:14" x14ac:dyDescent="0.35">
      <c r="A403">
        <v>11555</v>
      </c>
      <c r="B403" t="s">
        <v>36</v>
      </c>
      <c r="C403" t="s">
        <v>38</v>
      </c>
      <c r="D403" s="5">
        <v>40000</v>
      </c>
      <c r="E403">
        <v>1</v>
      </c>
      <c r="F403" t="s">
        <v>13</v>
      </c>
      <c r="G403" t="s">
        <v>20</v>
      </c>
      <c r="H403" t="s">
        <v>15</v>
      </c>
      <c r="I403">
        <v>0</v>
      </c>
      <c r="J403" t="s">
        <v>16</v>
      </c>
      <c r="K403" t="s">
        <v>17</v>
      </c>
      <c r="L403">
        <v>80</v>
      </c>
      <c r="M403" t="str">
        <f t="shared" si="6"/>
        <v>Old Age</v>
      </c>
      <c r="N403" t="s">
        <v>18</v>
      </c>
    </row>
    <row r="404" spans="1:14" x14ac:dyDescent="0.35">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5">
        <v>30000</v>
      </c>
      <c r="E406">
        <v>3</v>
      </c>
      <c r="F406" t="s">
        <v>27</v>
      </c>
      <c r="G406" t="s">
        <v>14</v>
      </c>
      <c r="H406" t="s">
        <v>15</v>
      </c>
      <c r="I406">
        <v>2</v>
      </c>
      <c r="J406" t="s">
        <v>23</v>
      </c>
      <c r="K406" t="s">
        <v>24</v>
      </c>
      <c r="L406">
        <v>54</v>
      </c>
      <c r="M406" t="str">
        <f t="shared" si="6"/>
        <v>Old Age</v>
      </c>
      <c r="N406" t="s">
        <v>15</v>
      </c>
    </row>
    <row r="407" spans="1:14" x14ac:dyDescent="0.35">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5">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5">
        <v>30000</v>
      </c>
      <c r="E415">
        <v>2</v>
      </c>
      <c r="F415" t="s">
        <v>19</v>
      </c>
      <c r="G415" t="s">
        <v>20</v>
      </c>
      <c r="H415" t="s">
        <v>18</v>
      </c>
      <c r="I415">
        <v>2</v>
      </c>
      <c r="J415" t="s">
        <v>23</v>
      </c>
      <c r="K415" t="s">
        <v>24</v>
      </c>
      <c r="L415">
        <v>67</v>
      </c>
      <c r="M415" t="str">
        <f t="shared" si="6"/>
        <v>Old Age</v>
      </c>
      <c r="N415" t="s">
        <v>18</v>
      </c>
    </row>
    <row r="416" spans="1:14" x14ac:dyDescent="0.35">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5">
        <v>30000</v>
      </c>
      <c r="E419">
        <v>2</v>
      </c>
      <c r="F419" t="s">
        <v>19</v>
      </c>
      <c r="G419" t="s">
        <v>20</v>
      </c>
      <c r="H419" t="s">
        <v>18</v>
      </c>
      <c r="I419">
        <v>2</v>
      </c>
      <c r="J419" t="s">
        <v>23</v>
      </c>
      <c r="K419" t="s">
        <v>24</v>
      </c>
      <c r="L419">
        <v>67</v>
      </c>
      <c r="M419" t="str">
        <f t="shared" si="6"/>
        <v>Old Age</v>
      </c>
      <c r="N419" t="s">
        <v>18</v>
      </c>
    </row>
    <row r="420" spans="1:14" x14ac:dyDescent="0.35">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5">
        <v>100000</v>
      </c>
      <c r="E422">
        <v>2</v>
      </c>
      <c r="F422" t="s">
        <v>13</v>
      </c>
      <c r="G422" t="s">
        <v>28</v>
      </c>
      <c r="H422" t="s">
        <v>15</v>
      </c>
      <c r="I422">
        <v>4</v>
      </c>
      <c r="J422" t="s">
        <v>44</v>
      </c>
      <c r="K422" t="s">
        <v>17</v>
      </c>
      <c r="L422">
        <v>59</v>
      </c>
      <c r="M422" t="str">
        <f t="shared" si="6"/>
        <v>Old Age</v>
      </c>
      <c r="N422" t="s">
        <v>18</v>
      </c>
    </row>
    <row r="423" spans="1:14" x14ac:dyDescent="0.35">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5">
        <v>110000</v>
      </c>
      <c r="E424">
        <v>0</v>
      </c>
      <c r="F424" t="s">
        <v>19</v>
      </c>
      <c r="G424" t="s">
        <v>28</v>
      </c>
      <c r="H424" t="s">
        <v>18</v>
      </c>
      <c r="I424">
        <v>3</v>
      </c>
      <c r="J424" t="s">
        <v>44</v>
      </c>
      <c r="K424" t="s">
        <v>24</v>
      </c>
      <c r="L424">
        <v>32</v>
      </c>
      <c r="M424" t="str">
        <f t="shared" si="6"/>
        <v>Middle Age</v>
      </c>
      <c r="N424" t="s">
        <v>15</v>
      </c>
    </row>
    <row r="425" spans="1:14" x14ac:dyDescent="0.35">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5">
        <v>40000</v>
      </c>
      <c r="E427">
        <v>2</v>
      </c>
      <c r="F427" t="s">
        <v>13</v>
      </c>
      <c r="G427" t="s">
        <v>28</v>
      </c>
      <c r="H427" t="s">
        <v>15</v>
      </c>
      <c r="I427">
        <v>2</v>
      </c>
      <c r="J427" t="s">
        <v>16</v>
      </c>
      <c r="K427" t="s">
        <v>24</v>
      </c>
      <c r="L427">
        <v>67</v>
      </c>
      <c r="M427" t="str">
        <f t="shared" si="6"/>
        <v>Old Age</v>
      </c>
      <c r="N427" t="s">
        <v>18</v>
      </c>
    </row>
    <row r="428" spans="1:14" x14ac:dyDescent="0.35">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5">
        <v>30000</v>
      </c>
      <c r="E431">
        <v>0</v>
      </c>
      <c r="F431" t="s">
        <v>19</v>
      </c>
      <c r="G431" t="s">
        <v>20</v>
      </c>
      <c r="H431" t="s">
        <v>15</v>
      </c>
      <c r="I431">
        <v>1</v>
      </c>
      <c r="J431" t="s">
        <v>22</v>
      </c>
      <c r="K431" t="s">
        <v>17</v>
      </c>
      <c r="L431">
        <v>31</v>
      </c>
      <c r="M431" t="str">
        <f t="shared" si="6"/>
        <v>Adolescent</v>
      </c>
      <c r="N431" t="s">
        <v>18</v>
      </c>
    </row>
    <row r="432" spans="1:14" x14ac:dyDescent="0.35">
      <c r="A432">
        <v>15019</v>
      </c>
      <c r="B432" t="s">
        <v>37</v>
      </c>
      <c r="C432" t="s">
        <v>38</v>
      </c>
      <c r="D432" s="5">
        <v>30000</v>
      </c>
      <c r="E432">
        <v>3</v>
      </c>
      <c r="F432" t="s">
        <v>27</v>
      </c>
      <c r="G432" t="s">
        <v>14</v>
      </c>
      <c r="H432" t="s">
        <v>15</v>
      </c>
      <c r="I432">
        <v>2</v>
      </c>
      <c r="J432" t="s">
        <v>23</v>
      </c>
      <c r="K432" t="s">
        <v>24</v>
      </c>
      <c r="L432">
        <v>55</v>
      </c>
      <c r="M432" t="str">
        <f t="shared" si="6"/>
        <v>Old Age</v>
      </c>
      <c r="N432" t="s">
        <v>18</v>
      </c>
    </row>
    <row r="433" spans="1:14" x14ac:dyDescent="0.35">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5">
        <v>110000</v>
      </c>
      <c r="E434">
        <v>0</v>
      </c>
      <c r="F434" t="s">
        <v>27</v>
      </c>
      <c r="G434" t="s">
        <v>28</v>
      </c>
      <c r="H434" t="s">
        <v>15</v>
      </c>
      <c r="I434">
        <v>3</v>
      </c>
      <c r="J434" t="s">
        <v>44</v>
      </c>
      <c r="K434" t="s">
        <v>24</v>
      </c>
      <c r="L434">
        <v>34</v>
      </c>
      <c r="M434" t="str">
        <f t="shared" si="6"/>
        <v>Middle Age</v>
      </c>
      <c r="N434" t="s">
        <v>15</v>
      </c>
    </row>
    <row r="435" spans="1:14" x14ac:dyDescent="0.35">
      <c r="A435">
        <v>27814</v>
      </c>
      <c r="B435" t="s">
        <v>37</v>
      </c>
      <c r="C435" t="s">
        <v>38</v>
      </c>
      <c r="D435" s="5">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5">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5">
        <v>10000</v>
      </c>
      <c r="E437">
        <v>2</v>
      </c>
      <c r="F437" t="s">
        <v>13</v>
      </c>
      <c r="G437" t="s">
        <v>20</v>
      </c>
      <c r="H437" t="s">
        <v>18</v>
      </c>
      <c r="I437">
        <v>1</v>
      </c>
      <c r="J437" t="s">
        <v>22</v>
      </c>
      <c r="K437" t="s">
        <v>17</v>
      </c>
      <c r="L437">
        <v>68</v>
      </c>
      <c r="M437" t="str">
        <f t="shared" si="6"/>
        <v>Old Age</v>
      </c>
      <c r="N437" t="s">
        <v>18</v>
      </c>
    </row>
    <row r="438" spans="1:14" x14ac:dyDescent="0.35">
      <c r="A438">
        <v>19784</v>
      </c>
      <c r="B438" t="s">
        <v>36</v>
      </c>
      <c r="C438" t="s">
        <v>38</v>
      </c>
      <c r="D438" s="5">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5">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5">
        <v>90000</v>
      </c>
      <c r="E442">
        <v>0</v>
      </c>
      <c r="F442" t="s">
        <v>13</v>
      </c>
      <c r="G442" t="s">
        <v>21</v>
      </c>
      <c r="H442" t="s">
        <v>18</v>
      </c>
      <c r="I442">
        <v>3</v>
      </c>
      <c r="J442" t="s">
        <v>44</v>
      </c>
      <c r="K442" t="s">
        <v>24</v>
      </c>
      <c r="L442">
        <v>34</v>
      </c>
      <c r="M442" t="str">
        <f t="shared" si="6"/>
        <v>Middle Age</v>
      </c>
      <c r="N442" t="s">
        <v>15</v>
      </c>
    </row>
    <row r="443" spans="1:14" x14ac:dyDescent="0.35">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5">
        <v>130000</v>
      </c>
      <c r="E448">
        <v>0</v>
      </c>
      <c r="F448" t="s">
        <v>31</v>
      </c>
      <c r="G448" t="s">
        <v>28</v>
      </c>
      <c r="H448" t="s">
        <v>15</v>
      </c>
      <c r="I448">
        <v>1</v>
      </c>
      <c r="J448" t="s">
        <v>44</v>
      </c>
      <c r="K448" t="s">
        <v>24</v>
      </c>
      <c r="L448">
        <v>48</v>
      </c>
      <c r="M448" t="str">
        <f t="shared" si="6"/>
        <v>Middle Age</v>
      </c>
      <c r="N448" t="s">
        <v>18</v>
      </c>
    </row>
    <row r="449" spans="1:14" x14ac:dyDescent="0.35">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5">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5">
        <v>40000</v>
      </c>
      <c r="E451">
        <v>1</v>
      </c>
      <c r="F451" t="s">
        <v>13</v>
      </c>
      <c r="G451" t="s">
        <v>14</v>
      </c>
      <c r="H451" t="s">
        <v>15</v>
      </c>
      <c r="I451">
        <v>0</v>
      </c>
      <c r="J451" t="s">
        <v>16</v>
      </c>
      <c r="K451" t="s">
        <v>17</v>
      </c>
      <c r="L451">
        <v>42</v>
      </c>
      <c r="M451" t="str">
        <f t="shared" ref="M451:M514" si="7">IF(L451&lt;=31,"Adolescent", IF(L451&gt;=54, "Old Age","Middle Age"))</f>
        <v>Middle Age</v>
      </c>
      <c r="N451" t="s">
        <v>18</v>
      </c>
    </row>
    <row r="452" spans="1:14" x14ac:dyDescent="0.35">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5">
        <v>30000</v>
      </c>
      <c r="E454">
        <v>2</v>
      </c>
      <c r="F454" t="s">
        <v>19</v>
      </c>
      <c r="G454" t="s">
        <v>20</v>
      </c>
      <c r="H454" t="s">
        <v>18</v>
      </c>
      <c r="I454">
        <v>2</v>
      </c>
      <c r="J454" t="s">
        <v>16</v>
      </c>
      <c r="K454" t="s">
        <v>24</v>
      </c>
      <c r="L454">
        <v>69</v>
      </c>
      <c r="M454" t="str">
        <f t="shared" si="7"/>
        <v>Old Age</v>
      </c>
      <c r="N454" t="s">
        <v>18</v>
      </c>
    </row>
    <row r="455" spans="1:14" x14ac:dyDescent="0.35">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5">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5">
        <v>20000</v>
      </c>
      <c r="E459">
        <v>1</v>
      </c>
      <c r="F459" t="s">
        <v>19</v>
      </c>
      <c r="G459" t="s">
        <v>25</v>
      </c>
      <c r="H459" t="s">
        <v>15</v>
      </c>
      <c r="I459">
        <v>0</v>
      </c>
      <c r="J459" t="s">
        <v>16</v>
      </c>
      <c r="K459" t="s">
        <v>17</v>
      </c>
      <c r="L459">
        <v>65</v>
      </c>
      <c r="M459" t="str">
        <f t="shared" si="7"/>
        <v>Old Age</v>
      </c>
      <c r="N459" t="s">
        <v>18</v>
      </c>
    </row>
    <row r="460" spans="1:14" x14ac:dyDescent="0.35">
      <c r="A460">
        <v>21560</v>
      </c>
      <c r="B460" t="s">
        <v>36</v>
      </c>
      <c r="C460" t="s">
        <v>39</v>
      </c>
      <c r="D460" s="5">
        <v>120000</v>
      </c>
      <c r="E460">
        <v>0</v>
      </c>
      <c r="F460" t="s">
        <v>29</v>
      </c>
      <c r="G460" t="s">
        <v>21</v>
      </c>
      <c r="H460" t="s">
        <v>15</v>
      </c>
      <c r="I460">
        <v>4</v>
      </c>
      <c r="J460" t="s">
        <v>44</v>
      </c>
      <c r="K460" t="s">
        <v>24</v>
      </c>
      <c r="L460">
        <v>32</v>
      </c>
      <c r="M460" t="str">
        <f t="shared" si="7"/>
        <v>Middle Age</v>
      </c>
      <c r="N460" t="s">
        <v>15</v>
      </c>
    </row>
    <row r="461" spans="1:14" x14ac:dyDescent="0.35">
      <c r="A461">
        <v>21554</v>
      </c>
      <c r="B461" t="s">
        <v>37</v>
      </c>
      <c r="C461" t="s">
        <v>38</v>
      </c>
      <c r="D461" s="5">
        <v>80000</v>
      </c>
      <c r="E461">
        <v>0</v>
      </c>
      <c r="F461" t="s">
        <v>13</v>
      </c>
      <c r="G461" t="s">
        <v>21</v>
      </c>
      <c r="H461" t="s">
        <v>18</v>
      </c>
      <c r="I461">
        <v>3</v>
      </c>
      <c r="J461" t="s">
        <v>44</v>
      </c>
      <c r="K461" t="s">
        <v>24</v>
      </c>
      <c r="L461">
        <v>33</v>
      </c>
      <c r="M461" t="str">
        <f t="shared" si="7"/>
        <v>Middle Age</v>
      </c>
      <c r="N461" t="s">
        <v>18</v>
      </c>
    </row>
    <row r="462" spans="1:14" x14ac:dyDescent="0.35">
      <c r="A462">
        <v>13662</v>
      </c>
      <c r="B462" t="s">
        <v>37</v>
      </c>
      <c r="C462" t="s">
        <v>39</v>
      </c>
      <c r="D462" s="5">
        <v>20000</v>
      </c>
      <c r="E462">
        <v>0</v>
      </c>
      <c r="F462" t="s">
        <v>29</v>
      </c>
      <c r="G462" t="s">
        <v>25</v>
      </c>
      <c r="H462" t="s">
        <v>15</v>
      </c>
      <c r="I462">
        <v>2</v>
      </c>
      <c r="J462" t="s">
        <v>26</v>
      </c>
      <c r="K462" t="s">
        <v>17</v>
      </c>
      <c r="L462">
        <v>31</v>
      </c>
      <c r="M462" t="str">
        <f t="shared" si="7"/>
        <v>Adolescent</v>
      </c>
      <c r="N462" t="s">
        <v>15</v>
      </c>
    </row>
    <row r="463" spans="1:14" x14ac:dyDescent="0.35">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5">
        <v>40000</v>
      </c>
      <c r="E467">
        <v>2</v>
      </c>
      <c r="F467" t="s">
        <v>13</v>
      </c>
      <c r="G467" t="s">
        <v>28</v>
      </c>
      <c r="H467" t="s">
        <v>15</v>
      </c>
      <c r="I467">
        <v>2</v>
      </c>
      <c r="J467" t="s">
        <v>16</v>
      </c>
      <c r="K467" t="s">
        <v>24</v>
      </c>
      <c r="L467">
        <v>65</v>
      </c>
      <c r="M467" t="str">
        <f t="shared" si="7"/>
        <v>Old Age</v>
      </c>
      <c r="N467" t="s">
        <v>18</v>
      </c>
    </row>
    <row r="468" spans="1:14" x14ac:dyDescent="0.35">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5">
        <v>30000</v>
      </c>
      <c r="E471">
        <v>1</v>
      </c>
      <c r="F471" t="s">
        <v>13</v>
      </c>
      <c r="G471" t="s">
        <v>20</v>
      </c>
      <c r="H471" t="s">
        <v>15</v>
      </c>
      <c r="I471">
        <v>0</v>
      </c>
      <c r="J471" t="s">
        <v>16</v>
      </c>
      <c r="K471" t="s">
        <v>17</v>
      </c>
      <c r="L471">
        <v>65</v>
      </c>
      <c r="M471" t="str">
        <f t="shared" si="7"/>
        <v>Old Age</v>
      </c>
      <c r="N471" t="s">
        <v>18</v>
      </c>
    </row>
    <row r="472" spans="1:14" x14ac:dyDescent="0.35">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5">
        <v>20000</v>
      </c>
      <c r="E477">
        <v>4</v>
      </c>
      <c r="F477" t="s">
        <v>27</v>
      </c>
      <c r="G477" t="s">
        <v>14</v>
      </c>
      <c r="H477" t="s">
        <v>18</v>
      </c>
      <c r="I477">
        <v>2</v>
      </c>
      <c r="J477" t="s">
        <v>26</v>
      </c>
      <c r="K477" t="s">
        <v>24</v>
      </c>
      <c r="L477">
        <v>60</v>
      </c>
      <c r="M477" t="str">
        <f t="shared" si="7"/>
        <v>Old Age</v>
      </c>
      <c r="N477" t="s">
        <v>18</v>
      </c>
    </row>
    <row r="478" spans="1:14" x14ac:dyDescent="0.35">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5">
        <v>10000</v>
      </c>
      <c r="E485">
        <v>1</v>
      </c>
      <c r="F485" t="s">
        <v>31</v>
      </c>
      <c r="G485" t="s">
        <v>20</v>
      </c>
      <c r="H485" t="s">
        <v>15</v>
      </c>
      <c r="I485">
        <v>0</v>
      </c>
      <c r="J485" t="s">
        <v>16</v>
      </c>
      <c r="K485" t="s">
        <v>17</v>
      </c>
      <c r="L485">
        <v>70</v>
      </c>
      <c r="M485" t="str">
        <f t="shared" si="7"/>
        <v>Old Age</v>
      </c>
      <c r="N485" t="s">
        <v>18</v>
      </c>
    </row>
    <row r="486" spans="1:14" x14ac:dyDescent="0.35">
      <c r="A486">
        <v>25681</v>
      </c>
      <c r="B486" t="s">
        <v>37</v>
      </c>
      <c r="C486" t="s">
        <v>38</v>
      </c>
      <c r="D486" s="5">
        <v>30000</v>
      </c>
      <c r="E486">
        <v>0</v>
      </c>
      <c r="F486" t="s">
        <v>19</v>
      </c>
      <c r="G486" t="s">
        <v>20</v>
      </c>
      <c r="H486" t="s">
        <v>18</v>
      </c>
      <c r="I486">
        <v>1</v>
      </c>
      <c r="J486" t="s">
        <v>22</v>
      </c>
      <c r="K486" t="s">
        <v>17</v>
      </c>
      <c r="L486">
        <v>31</v>
      </c>
      <c r="M486" t="str">
        <f t="shared" si="7"/>
        <v>Adolescent</v>
      </c>
      <c r="N486" t="s">
        <v>15</v>
      </c>
    </row>
    <row r="487" spans="1:14" x14ac:dyDescent="0.35">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5">
        <v>90000</v>
      </c>
      <c r="E488">
        <v>4</v>
      </c>
      <c r="F488" t="s">
        <v>29</v>
      </c>
      <c r="G488" t="s">
        <v>14</v>
      </c>
      <c r="H488" t="s">
        <v>15</v>
      </c>
      <c r="I488">
        <v>4</v>
      </c>
      <c r="J488" t="s">
        <v>44</v>
      </c>
      <c r="K488" t="s">
        <v>17</v>
      </c>
      <c r="L488">
        <v>58</v>
      </c>
      <c r="M488" t="str">
        <f t="shared" si="7"/>
        <v>Old Age</v>
      </c>
      <c r="N488" t="s">
        <v>18</v>
      </c>
    </row>
    <row r="489" spans="1:14" x14ac:dyDescent="0.35">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5">
        <v>40000</v>
      </c>
      <c r="E494">
        <v>3</v>
      </c>
      <c r="F494" t="s">
        <v>19</v>
      </c>
      <c r="G494" t="s">
        <v>20</v>
      </c>
      <c r="H494" t="s">
        <v>15</v>
      </c>
      <c r="I494">
        <v>1</v>
      </c>
      <c r="J494" t="s">
        <v>26</v>
      </c>
      <c r="K494" t="s">
        <v>32</v>
      </c>
      <c r="L494">
        <v>31</v>
      </c>
      <c r="M494" t="str">
        <f t="shared" si="7"/>
        <v>Adolescent</v>
      </c>
      <c r="N494" t="s">
        <v>15</v>
      </c>
    </row>
    <row r="495" spans="1:14" x14ac:dyDescent="0.35">
      <c r="A495">
        <v>23707</v>
      </c>
      <c r="B495" t="s">
        <v>37</v>
      </c>
      <c r="C495" t="s">
        <v>39</v>
      </c>
      <c r="D495" s="5">
        <v>70000</v>
      </c>
      <c r="E495">
        <v>5</v>
      </c>
      <c r="F495" t="s">
        <v>13</v>
      </c>
      <c r="G495" t="s">
        <v>28</v>
      </c>
      <c r="H495" t="s">
        <v>15</v>
      </c>
      <c r="I495">
        <v>3</v>
      </c>
      <c r="J495" t="s">
        <v>44</v>
      </c>
      <c r="K495" t="s">
        <v>32</v>
      </c>
      <c r="L495">
        <v>60</v>
      </c>
      <c r="M495" t="str">
        <f t="shared" si="7"/>
        <v>Old Age</v>
      </c>
      <c r="N495" t="s">
        <v>15</v>
      </c>
    </row>
    <row r="496" spans="1:14" x14ac:dyDescent="0.35">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5">
        <v>60000</v>
      </c>
      <c r="E497">
        <v>2</v>
      </c>
      <c r="F497" t="s">
        <v>19</v>
      </c>
      <c r="G497" t="s">
        <v>21</v>
      </c>
      <c r="H497" t="s">
        <v>15</v>
      </c>
      <c r="I497">
        <v>2</v>
      </c>
      <c r="J497" t="s">
        <v>44</v>
      </c>
      <c r="K497" t="s">
        <v>32</v>
      </c>
      <c r="L497">
        <v>56</v>
      </c>
      <c r="M497" t="str">
        <f t="shared" si="7"/>
        <v>Old Age</v>
      </c>
      <c r="N497" t="s">
        <v>18</v>
      </c>
    </row>
    <row r="498" spans="1:14" x14ac:dyDescent="0.35">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5">
        <v>40000</v>
      </c>
      <c r="E501">
        <v>0</v>
      </c>
      <c r="F501" t="s">
        <v>27</v>
      </c>
      <c r="G501" t="s">
        <v>14</v>
      </c>
      <c r="H501" t="s">
        <v>18</v>
      </c>
      <c r="I501">
        <v>2</v>
      </c>
      <c r="J501" t="s">
        <v>26</v>
      </c>
      <c r="K501" t="s">
        <v>32</v>
      </c>
      <c r="L501">
        <v>31</v>
      </c>
      <c r="M501" t="str">
        <f t="shared" si="7"/>
        <v>Adolescent</v>
      </c>
      <c r="N501" t="s">
        <v>15</v>
      </c>
    </row>
    <row r="502" spans="1:14" x14ac:dyDescent="0.35">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5">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5">
        <v>80000</v>
      </c>
      <c r="E513">
        <v>4</v>
      </c>
      <c r="F513" t="s">
        <v>13</v>
      </c>
      <c r="G513" t="s">
        <v>28</v>
      </c>
      <c r="H513" t="s">
        <v>15</v>
      </c>
      <c r="I513">
        <v>0</v>
      </c>
      <c r="J513" t="s">
        <v>23</v>
      </c>
      <c r="K513" t="s">
        <v>32</v>
      </c>
      <c r="L513">
        <v>66</v>
      </c>
      <c r="M513" t="str">
        <f t="shared" si="7"/>
        <v>Old Age</v>
      </c>
      <c r="N513" t="s">
        <v>15</v>
      </c>
    </row>
    <row r="514" spans="1:14" x14ac:dyDescent="0.35">
      <c r="A514">
        <v>18052</v>
      </c>
      <c r="B514" t="s">
        <v>36</v>
      </c>
      <c r="C514" t="s">
        <v>38</v>
      </c>
      <c r="D514" s="5">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5">
        <v>60000</v>
      </c>
      <c r="E515">
        <v>4</v>
      </c>
      <c r="F515" t="s">
        <v>31</v>
      </c>
      <c r="G515" t="s">
        <v>28</v>
      </c>
      <c r="H515" t="s">
        <v>15</v>
      </c>
      <c r="I515">
        <v>2</v>
      </c>
      <c r="J515" t="s">
        <v>44</v>
      </c>
      <c r="K515" t="s">
        <v>32</v>
      </c>
      <c r="L515">
        <v>61</v>
      </c>
      <c r="M515" t="str">
        <f t="shared" ref="M515:M578" si="8">IF(L515&lt;=31,"Adolescent", IF(L515&gt;=54, "Old Age","Middle Age"))</f>
        <v>Old Age</v>
      </c>
      <c r="N515" t="s">
        <v>15</v>
      </c>
    </row>
    <row r="516" spans="1:14" x14ac:dyDescent="0.35">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5">
        <v>80000</v>
      </c>
      <c r="E521">
        <v>5</v>
      </c>
      <c r="F521" t="s">
        <v>13</v>
      </c>
      <c r="G521" t="s">
        <v>28</v>
      </c>
      <c r="H521" t="s">
        <v>15</v>
      </c>
      <c r="I521">
        <v>2</v>
      </c>
      <c r="J521" t="s">
        <v>26</v>
      </c>
      <c r="K521" t="s">
        <v>32</v>
      </c>
      <c r="L521">
        <v>64</v>
      </c>
      <c r="M521" t="str">
        <f t="shared" si="8"/>
        <v>Old Age</v>
      </c>
      <c r="N521" t="s">
        <v>18</v>
      </c>
    </row>
    <row r="522" spans="1:14" x14ac:dyDescent="0.35">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5">
        <v>40000</v>
      </c>
      <c r="E523">
        <v>4</v>
      </c>
      <c r="F523" t="s">
        <v>27</v>
      </c>
      <c r="G523" t="s">
        <v>21</v>
      </c>
      <c r="H523" t="s">
        <v>15</v>
      </c>
      <c r="I523">
        <v>2</v>
      </c>
      <c r="J523" t="s">
        <v>44</v>
      </c>
      <c r="K523" t="s">
        <v>32</v>
      </c>
      <c r="L523">
        <v>62</v>
      </c>
      <c r="M523" t="str">
        <f t="shared" si="8"/>
        <v>Old Age</v>
      </c>
      <c r="N523" t="s">
        <v>15</v>
      </c>
    </row>
    <row r="524" spans="1:14" x14ac:dyDescent="0.35">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5">
        <v>80000</v>
      </c>
      <c r="E526">
        <v>4</v>
      </c>
      <c r="F526" t="s">
        <v>31</v>
      </c>
      <c r="G526" t="s">
        <v>28</v>
      </c>
      <c r="H526" t="s">
        <v>15</v>
      </c>
      <c r="I526">
        <v>2</v>
      </c>
      <c r="J526" t="s">
        <v>23</v>
      </c>
      <c r="K526" t="s">
        <v>32</v>
      </c>
      <c r="L526">
        <v>67</v>
      </c>
      <c r="M526" t="str">
        <f t="shared" si="8"/>
        <v>Old Age</v>
      </c>
      <c r="N526" t="s">
        <v>18</v>
      </c>
    </row>
    <row r="527" spans="1:14" x14ac:dyDescent="0.35">
      <c r="A527">
        <v>16791</v>
      </c>
      <c r="B527" t="s">
        <v>37</v>
      </c>
      <c r="C527" t="s">
        <v>39</v>
      </c>
      <c r="D527" s="5">
        <v>60000</v>
      </c>
      <c r="E527">
        <v>5</v>
      </c>
      <c r="F527" t="s">
        <v>13</v>
      </c>
      <c r="G527" t="s">
        <v>28</v>
      </c>
      <c r="H527" t="s">
        <v>15</v>
      </c>
      <c r="I527">
        <v>3</v>
      </c>
      <c r="J527" t="s">
        <v>44</v>
      </c>
      <c r="K527" t="s">
        <v>32</v>
      </c>
      <c r="L527">
        <v>59</v>
      </c>
      <c r="M527" t="str">
        <f t="shared" si="8"/>
        <v>Old Age</v>
      </c>
      <c r="N527" t="s">
        <v>15</v>
      </c>
    </row>
    <row r="528" spans="1:14" x14ac:dyDescent="0.35">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5">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5">
        <v>60000</v>
      </c>
      <c r="E531">
        <v>2</v>
      </c>
      <c r="F531" t="s">
        <v>19</v>
      </c>
      <c r="G531" t="s">
        <v>21</v>
      </c>
      <c r="H531" t="s">
        <v>15</v>
      </c>
      <c r="I531">
        <v>1</v>
      </c>
      <c r="J531" t="s">
        <v>44</v>
      </c>
      <c r="K531" t="s">
        <v>32</v>
      </c>
      <c r="L531">
        <v>57</v>
      </c>
      <c r="M531" t="str">
        <f t="shared" si="8"/>
        <v>Old Age</v>
      </c>
      <c r="N531" t="s">
        <v>15</v>
      </c>
    </row>
    <row r="532" spans="1:14" x14ac:dyDescent="0.35">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5">
        <v>60000</v>
      </c>
      <c r="E535">
        <v>3</v>
      </c>
      <c r="F535" t="s">
        <v>13</v>
      </c>
      <c r="G535" t="s">
        <v>28</v>
      </c>
      <c r="H535" t="s">
        <v>15</v>
      </c>
      <c r="I535">
        <v>2</v>
      </c>
      <c r="J535" t="s">
        <v>44</v>
      </c>
      <c r="K535" t="s">
        <v>32</v>
      </c>
      <c r="L535">
        <v>66</v>
      </c>
      <c r="M535" t="str">
        <f t="shared" si="8"/>
        <v>Old Age</v>
      </c>
      <c r="N535" t="s">
        <v>18</v>
      </c>
    </row>
    <row r="536" spans="1:14" x14ac:dyDescent="0.35">
      <c r="A536">
        <v>24637</v>
      </c>
      <c r="B536" t="s">
        <v>36</v>
      </c>
      <c r="C536" t="s">
        <v>39</v>
      </c>
      <c r="D536" s="5">
        <v>40000</v>
      </c>
      <c r="E536">
        <v>4</v>
      </c>
      <c r="F536" t="s">
        <v>27</v>
      </c>
      <c r="G536" t="s">
        <v>21</v>
      </c>
      <c r="H536" t="s">
        <v>15</v>
      </c>
      <c r="I536">
        <v>2</v>
      </c>
      <c r="J536" t="s">
        <v>44</v>
      </c>
      <c r="K536" t="s">
        <v>32</v>
      </c>
      <c r="L536">
        <v>64</v>
      </c>
      <c r="M536" t="str">
        <f t="shared" si="8"/>
        <v>Old Age</v>
      </c>
      <c r="N536" t="s">
        <v>18</v>
      </c>
    </row>
    <row r="537" spans="1:14" x14ac:dyDescent="0.35">
      <c r="A537">
        <v>23893</v>
      </c>
      <c r="B537" t="s">
        <v>36</v>
      </c>
      <c r="C537" t="s">
        <v>39</v>
      </c>
      <c r="D537" s="5">
        <v>50000</v>
      </c>
      <c r="E537">
        <v>3</v>
      </c>
      <c r="F537" t="s">
        <v>13</v>
      </c>
      <c r="G537" t="s">
        <v>14</v>
      </c>
      <c r="H537" t="s">
        <v>15</v>
      </c>
      <c r="I537">
        <v>3</v>
      </c>
      <c r="J537" t="s">
        <v>44</v>
      </c>
      <c r="K537" t="s">
        <v>32</v>
      </c>
      <c r="L537">
        <v>41</v>
      </c>
      <c r="M537" t="str">
        <f t="shared" si="8"/>
        <v>Middle Age</v>
      </c>
      <c r="N537" t="s">
        <v>18</v>
      </c>
    </row>
    <row r="538" spans="1:14" x14ac:dyDescent="0.35">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5">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5">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5">
        <v>60000</v>
      </c>
      <c r="E549">
        <v>2</v>
      </c>
      <c r="F549" t="s">
        <v>27</v>
      </c>
      <c r="G549" t="s">
        <v>21</v>
      </c>
      <c r="H549" t="s">
        <v>15</v>
      </c>
      <c r="I549">
        <v>2</v>
      </c>
      <c r="J549" t="s">
        <v>22</v>
      </c>
      <c r="K549" t="s">
        <v>32</v>
      </c>
      <c r="L549">
        <v>55</v>
      </c>
      <c r="M549" t="str">
        <f t="shared" si="8"/>
        <v>Old Age</v>
      </c>
      <c r="N549" t="s">
        <v>15</v>
      </c>
    </row>
    <row r="550" spans="1:14" x14ac:dyDescent="0.35">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5">
        <v>50000</v>
      </c>
      <c r="E553">
        <v>4</v>
      </c>
      <c r="F553" t="s">
        <v>13</v>
      </c>
      <c r="G553" t="s">
        <v>28</v>
      </c>
      <c r="H553" t="s">
        <v>15</v>
      </c>
      <c r="I553">
        <v>2</v>
      </c>
      <c r="J553" t="s">
        <v>44</v>
      </c>
      <c r="K553" t="s">
        <v>32</v>
      </c>
      <c r="L553">
        <v>63</v>
      </c>
      <c r="M553" t="str">
        <f t="shared" si="8"/>
        <v>Old Age</v>
      </c>
      <c r="N553" t="s">
        <v>18</v>
      </c>
    </row>
    <row r="554" spans="1:14" x14ac:dyDescent="0.35">
      <c r="A554">
        <v>14417</v>
      </c>
      <c r="B554" t="s">
        <v>37</v>
      </c>
      <c r="C554" t="s">
        <v>39</v>
      </c>
      <c r="D554" s="5">
        <v>60000</v>
      </c>
      <c r="E554">
        <v>3</v>
      </c>
      <c r="F554" t="s">
        <v>27</v>
      </c>
      <c r="G554" t="s">
        <v>21</v>
      </c>
      <c r="H554" t="s">
        <v>15</v>
      </c>
      <c r="I554">
        <v>2</v>
      </c>
      <c r="J554" t="s">
        <v>44</v>
      </c>
      <c r="K554" t="s">
        <v>32</v>
      </c>
      <c r="L554">
        <v>54</v>
      </c>
      <c r="M554" t="str">
        <f t="shared" si="8"/>
        <v>Old Age</v>
      </c>
      <c r="N554" t="s">
        <v>15</v>
      </c>
    </row>
    <row r="555" spans="1:14" x14ac:dyDescent="0.35">
      <c r="A555">
        <v>17533</v>
      </c>
      <c r="B555" t="s">
        <v>36</v>
      </c>
      <c r="C555" t="s">
        <v>39</v>
      </c>
      <c r="D555" s="5">
        <v>40000</v>
      </c>
      <c r="E555">
        <v>3</v>
      </c>
      <c r="F555" t="s">
        <v>19</v>
      </c>
      <c r="G555" t="s">
        <v>21</v>
      </c>
      <c r="H555" t="s">
        <v>18</v>
      </c>
      <c r="I555">
        <v>2</v>
      </c>
      <c r="J555" t="s">
        <v>23</v>
      </c>
      <c r="K555" t="s">
        <v>32</v>
      </c>
      <c r="L555">
        <v>73</v>
      </c>
      <c r="M555" t="str">
        <f t="shared" si="8"/>
        <v>Old Age</v>
      </c>
      <c r="N555" t="s">
        <v>15</v>
      </c>
    </row>
    <row r="556" spans="1:14" x14ac:dyDescent="0.35">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5">
        <v>40000</v>
      </c>
      <c r="E559">
        <v>3</v>
      </c>
      <c r="F559" t="s">
        <v>19</v>
      </c>
      <c r="G559" t="s">
        <v>20</v>
      </c>
      <c r="H559" t="s">
        <v>15</v>
      </c>
      <c r="I559">
        <v>0</v>
      </c>
      <c r="J559" t="s">
        <v>26</v>
      </c>
      <c r="K559" t="s">
        <v>32</v>
      </c>
      <c r="L559">
        <v>31</v>
      </c>
      <c r="M559" t="str">
        <f t="shared" si="8"/>
        <v>Adolescent</v>
      </c>
      <c r="N559" t="s">
        <v>18</v>
      </c>
    </row>
    <row r="560" spans="1:14" x14ac:dyDescent="0.35">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5">
        <v>60000</v>
      </c>
      <c r="E561">
        <v>2</v>
      </c>
      <c r="F561" t="s">
        <v>13</v>
      </c>
      <c r="G561" t="s">
        <v>28</v>
      </c>
      <c r="H561" t="s">
        <v>15</v>
      </c>
      <c r="I561">
        <v>0</v>
      </c>
      <c r="J561" t="s">
        <v>44</v>
      </c>
      <c r="K561" t="s">
        <v>32</v>
      </c>
      <c r="L561">
        <v>58</v>
      </c>
      <c r="M561" t="str">
        <f t="shared" si="8"/>
        <v>Old Age</v>
      </c>
      <c r="N561" t="s">
        <v>18</v>
      </c>
    </row>
    <row r="562" spans="1:14" x14ac:dyDescent="0.35">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5">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5">
        <v>40000</v>
      </c>
      <c r="E567">
        <v>3</v>
      </c>
      <c r="F567" t="s">
        <v>19</v>
      </c>
      <c r="G567" t="s">
        <v>21</v>
      </c>
      <c r="H567" t="s">
        <v>18</v>
      </c>
      <c r="I567">
        <v>2</v>
      </c>
      <c r="J567" t="s">
        <v>23</v>
      </c>
      <c r="K567" t="s">
        <v>32</v>
      </c>
      <c r="L567">
        <v>54</v>
      </c>
      <c r="M567" t="str">
        <f t="shared" si="8"/>
        <v>Old Age</v>
      </c>
      <c r="N567" t="s">
        <v>15</v>
      </c>
    </row>
    <row r="568" spans="1:14" x14ac:dyDescent="0.35">
      <c r="A568">
        <v>18847</v>
      </c>
      <c r="B568" t="s">
        <v>36</v>
      </c>
      <c r="C568" t="s">
        <v>38</v>
      </c>
      <c r="D568" s="5">
        <v>60000</v>
      </c>
      <c r="E568">
        <v>2</v>
      </c>
      <c r="F568" t="s">
        <v>31</v>
      </c>
      <c r="G568" t="s">
        <v>28</v>
      </c>
      <c r="H568" t="s">
        <v>15</v>
      </c>
      <c r="I568">
        <v>2</v>
      </c>
      <c r="J568" t="s">
        <v>23</v>
      </c>
      <c r="K568" t="s">
        <v>32</v>
      </c>
      <c r="L568">
        <v>70</v>
      </c>
      <c r="M568" t="str">
        <f t="shared" si="8"/>
        <v>Old Age</v>
      </c>
      <c r="N568" t="s">
        <v>18</v>
      </c>
    </row>
    <row r="569" spans="1:14" x14ac:dyDescent="0.35">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5">
        <v>50000</v>
      </c>
      <c r="E571">
        <v>3</v>
      </c>
      <c r="F571" t="s">
        <v>31</v>
      </c>
      <c r="G571" t="s">
        <v>28</v>
      </c>
      <c r="H571" t="s">
        <v>15</v>
      </c>
      <c r="I571">
        <v>2</v>
      </c>
      <c r="J571" t="s">
        <v>44</v>
      </c>
      <c r="K571" t="s">
        <v>32</v>
      </c>
      <c r="L571">
        <v>69</v>
      </c>
      <c r="M571" t="str">
        <f t="shared" si="8"/>
        <v>Old Age</v>
      </c>
      <c r="N571" t="s">
        <v>18</v>
      </c>
    </row>
    <row r="572" spans="1:14" x14ac:dyDescent="0.35">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5">
        <v>40000</v>
      </c>
      <c r="E573">
        <v>2</v>
      </c>
      <c r="F573" t="s">
        <v>29</v>
      </c>
      <c r="G573" t="s">
        <v>14</v>
      </c>
      <c r="H573" t="s">
        <v>15</v>
      </c>
      <c r="I573">
        <v>2</v>
      </c>
      <c r="J573" t="s">
        <v>22</v>
      </c>
      <c r="K573" t="s">
        <v>32</v>
      </c>
      <c r="L573">
        <v>55</v>
      </c>
      <c r="M573" t="str">
        <f t="shared" si="8"/>
        <v>Old Age</v>
      </c>
      <c r="N573" t="s">
        <v>18</v>
      </c>
    </row>
    <row r="574" spans="1:14" x14ac:dyDescent="0.35">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5">
        <v>60000</v>
      </c>
      <c r="E575">
        <v>3</v>
      </c>
      <c r="F575" t="s">
        <v>31</v>
      </c>
      <c r="G575" t="s">
        <v>28</v>
      </c>
      <c r="H575" t="s">
        <v>15</v>
      </c>
      <c r="I575">
        <v>2</v>
      </c>
      <c r="J575" t="s">
        <v>26</v>
      </c>
      <c r="K575" t="s">
        <v>32</v>
      </c>
      <c r="L575">
        <v>63</v>
      </c>
      <c r="M575" t="str">
        <f t="shared" si="8"/>
        <v>Old Age</v>
      </c>
      <c r="N575" t="s">
        <v>18</v>
      </c>
    </row>
    <row r="576" spans="1:14" x14ac:dyDescent="0.35">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5">
        <v>60000</v>
      </c>
      <c r="E577">
        <v>2</v>
      </c>
      <c r="F577" t="s">
        <v>19</v>
      </c>
      <c r="G577" t="s">
        <v>21</v>
      </c>
      <c r="H577" t="s">
        <v>15</v>
      </c>
      <c r="I577">
        <v>1</v>
      </c>
      <c r="J577" t="s">
        <v>44</v>
      </c>
      <c r="K577" t="s">
        <v>32</v>
      </c>
      <c r="L577">
        <v>56</v>
      </c>
      <c r="M577" t="str">
        <f t="shared" si="8"/>
        <v>Old Age</v>
      </c>
      <c r="N577" t="s">
        <v>18</v>
      </c>
    </row>
    <row r="578" spans="1:14" x14ac:dyDescent="0.35">
      <c r="A578">
        <v>18752</v>
      </c>
      <c r="B578" t="s">
        <v>37</v>
      </c>
      <c r="C578" t="s">
        <v>38</v>
      </c>
      <c r="D578" s="5">
        <v>40000</v>
      </c>
      <c r="E578">
        <v>0</v>
      </c>
      <c r="F578" t="s">
        <v>27</v>
      </c>
      <c r="G578" t="s">
        <v>14</v>
      </c>
      <c r="H578" t="s">
        <v>15</v>
      </c>
      <c r="I578">
        <v>1</v>
      </c>
      <c r="J578" t="s">
        <v>23</v>
      </c>
      <c r="K578" t="s">
        <v>32</v>
      </c>
      <c r="L578">
        <v>31</v>
      </c>
      <c r="M578" t="str">
        <f t="shared" si="8"/>
        <v>Adolescent</v>
      </c>
      <c r="N578" t="s">
        <v>18</v>
      </c>
    </row>
    <row r="579" spans="1:14" x14ac:dyDescent="0.35">
      <c r="A579">
        <v>16917</v>
      </c>
      <c r="B579" t="s">
        <v>36</v>
      </c>
      <c r="C579" t="s">
        <v>39</v>
      </c>
      <c r="D579" s="5">
        <v>120000</v>
      </c>
      <c r="E579">
        <v>1</v>
      </c>
      <c r="F579" t="s">
        <v>13</v>
      </c>
      <c r="G579" t="s">
        <v>28</v>
      </c>
      <c r="H579" t="s">
        <v>15</v>
      </c>
      <c r="I579">
        <v>4</v>
      </c>
      <c r="J579" t="s">
        <v>16</v>
      </c>
      <c r="K579" t="s">
        <v>32</v>
      </c>
      <c r="L579">
        <v>38</v>
      </c>
      <c r="M579" t="str">
        <f t="shared" ref="M579:M642" si="9">IF(L579&lt;=31,"Adolescent", IF(L579&gt;=54, "Old Age","Middle Age"))</f>
        <v>Middle Age</v>
      </c>
      <c r="N579" t="s">
        <v>18</v>
      </c>
    </row>
    <row r="580" spans="1:14" x14ac:dyDescent="0.35">
      <c r="A580">
        <v>15313</v>
      </c>
      <c r="B580" t="s">
        <v>36</v>
      </c>
      <c r="C580" t="s">
        <v>39</v>
      </c>
      <c r="D580" s="5">
        <v>60000</v>
      </c>
      <c r="E580">
        <v>4</v>
      </c>
      <c r="F580" t="s">
        <v>13</v>
      </c>
      <c r="G580" t="s">
        <v>28</v>
      </c>
      <c r="H580" t="s">
        <v>15</v>
      </c>
      <c r="I580">
        <v>2</v>
      </c>
      <c r="J580" t="s">
        <v>22</v>
      </c>
      <c r="K580" t="s">
        <v>32</v>
      </c>
      <c r="L580">
        <v>59</v>
      </c>
      <c r="M580" t="str">
        <f t="shared" si="9"/>
        <v>Old Age</v>
      </c>
      <c r="N580" t="s">
        <v>18</v>
      </c>
    </row>
    <row r="581" spans="1:14" x14ac:dyDescent="0.35">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5">
        <v>60000</v>
      </c>
      <c r="E582">
        <v>3</v>
      </c>
      <c r="F582" t="s">
        <v>31</v>
      </c>
      <c r="G582" t="s">
        <v>28</v>
      </c>
      <c r="H582" t="s">
        <v>15</v>
      </c>
      <c r="I582">
        <v>2</v>
      </c>
      <c r="J582" t="s">
        <v>44</v>
      </c>
      <c r="K582" t="s">
        <v>32</v>
      </c>
      <c r="L582">
        <v>69</v>
      </c>
      <c r="M582" t="str">
        <f t="shared" si="9"/>
        <v>Old Age</v>
      </c>
      <c r="N582" t="s">
        <v>18</v>
      </c>
    </row>
    <row r="583" spans="1:14" x14ac:dyDescent="0.35">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5">
        <v>60000</v>
      </c>
      <c r="E585">
        <v>3</v>
      </c>
      <c r="F585" t="s">
        <v>13</v>
      </c>
      <c r="G585" t="s">
        <v>28</v>
      </c>
      <c r="H585" t="s">
        <v>15</v>
      </c>
      <c r="I585">
        <v>2</v>
      </c>
      <c r="J585" t="s">
        <v>44</v>
      </c>
      <c r="K585" t="s">
        <v>32</v>
      </c>
      <c r="L585">
        <v>66</v>
      </c>
      <c r="M585" t="str">
        <f t="shared" si="9"/>
        <v>Old Age</v>
      </c>
      <c r="N585" t="s">
        <v>18</v>
      </c>
    </row>
    <row r="586" spans="1:14" x14ac:dyDescent="0.35">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5">
        <v>90000</v>
      </c>
      <c r="E590">
        <v>2</v>
      </c>
      <c r="F590" t="s">
        <v>27</v>
      </c>
      <c r="G590" t="s">
        <v>21</v>
      </c>
      <c r="H590" t="s">
        <v>15</v>
      </c>
      <c r="I590">
        <v>1</v>
      </c>
      <c r="J590" t="s">
        <v>44</v>
      </c>
      <c r="K590" t="s">
        <v>32</v>
      </c>
      <c r="L590">
        <v>51</v>
      </c>
      <c r="M590" t="str">
        <f t="shared" si="9"/>
        <v>Middle Age</v>
      </c>
      <c r="N590" t="s">
        <v>15</v>
      </c>
    </row>
    <row r="591" spans="1:14" x14ac:dyDescent="0.35">
      <c r="A591">
        <v>12100</v>
      </c>
      <c r="B591" t="s">
        <v>37</v>
      </c>
      <c r="C591" t="s">
        <v>39</v>
      </c>
      <c r="D591" s="5">
        <v>60000</v>
      </c>
      <c r="E591">
        <v>2</v>
      </c>
      <c r="F591" t="s">
        <v>13</v>
      </c>
      <c r="G591" t="s">
        <v>28</v>
      </c>
      <c r="H591" t="s">
        <v>15</v>
      </c>
      <c r="I591">
        <v>0</v>
      </c>
      <c r="J591" t="s">
        <v>44</v>
      </c>
      <c r="K591" t="s">
        <v>32</v>
      </c>
      <c r="L591">
        <v>57</v>
      </c>
      <c r="M591" t="str">
        <f t="shared" si="9"/>
        <v>Old Age</v>
      </c>
      <c r="N591" t="s">
        <v>18</v>
      </c>
    </row>
    <row r="592" spans="1:14" x14ac:dyDescent="0.35">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5">
        <v>40000</v>
      </c>
      <c r="E593">
        <v>4</v>
      </c>
      <c r="F593" t="s">
        <v>27</v>
      </c>
      <c r="G593" t="s">
        <v>21</v>
      </c>
      <c r="H593" t="s">
        <v>18</v>
      </c>
      <c r="I593">
        <v>2</v>
      </c>
      <c r="J593" t="s">
        <v>44</v>
      </c>
      <c r="K593" t="s">
        <v>32</v>
      </c>
      <c r="L593">
        <v>61</v>
      </c>
      <c r="M593" t="str">
        <f t="shared" si="9"/>
        <v>Old Age</v>
      </c>
      <c r="N593" t="s">
        <v>15</v>
      </c>
    </row>
    <row r="594" spans="1:14" x14ac:dyDescent="0.35">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5">
        <v>80000</v>
      </c>
      <c r="E596">
        <v>4</v>
      </c>
      <c r="F596" t="s">
        <v>31</v>
      </c>
      <c r="G596" t="s">
        <v>28</v>
      </c>
      <c r="H596" t="s">
        <v>15</v>
      </c>
      <c r="I596">
        <v>2</v>
      </c>
      <c r="J596" t="s">
        <v>23</v>
      </c>
      <c r="K596" t="s">
        <v>32</v>
      </c>
      <c r="L596">
        <v>70</v>
      </c>
      <c r="M596" t="str">
        <f t="shared" si="9"/>
        <v>Old Age</v>
      </c>
      <c r="N596" t="s">
        <v>18</v>
      </c>
    </row>
    <row r="597" spans="1:14" x14ac:dyDescent="0.35">
      <c r="A597">
        <v>18058</v>
      </c>
      <c r="B597" t="s">
        <v>37</v>
      </c>
      <c r="C597" t="s">
        <v>38</v>
      </c>
      <c r="D597" s="5">
        <v>20000</v>
      </c>
      <c r="E597">
        <v>3</v>
      </c>
      <c r="F597" t="s">
        <v>27</v>
      </c>
      <c r="G597" t="s">
        <v>14</v>
      </c>
      <c r="H597" t="s">
        <v>15</v>
      </c>
      <c r="I597">
        <v>2</v>
      </c>
      <c r="J597" t="s">
        <v>22</v>
      </c>
      <c r="K597" t="s">
        <v>32</v>
      </c>
      <c r="L597">
        <v>78</v>
      </c>
      <c r="M597" t="str">
        <f t="shared" si="9"/>
        <v>Old Age</v>
      </c>
      <c r="N597" t="s">
        <v>18</v>
      </c>
    </row>
    <row r="598" spans="1:14" x14ac:dyDescent="0.35">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5">
        <v>40000</v>
      </c>
      <c r="E599">
        <v>2</v>
      </c>
      <c r="F599" t="s">
        <v>27</v>
      </c>
      <c r="G599" t="s">
        <v>21</v>
      </c>
      <c r="H599" t="s">
        <v>18</v>
      </c>
      <c r="I599">
        <v>1</v>
      </c>
      <c r="J599" t="s">
        <v>22</v>
      </c>
      <c r="K599" t="s">
        <v>32</v>
      </c>
      <c r="L599">
        <v>58</v>
      </c>
      <c r="M599" t="str">
        <f t="shared" si="9"/>
        <v>Old Age</v>
      </c>
      <c r="N599" t="s">
        <v>15</v>
      </c>
    </row>
    <row r="600" spans="1:14" x14ac:dyDescent="0.35">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5">
        <v>60000</v>
      </c>
      <c r="E601">
        <v>2</v>
      </c>
      <c r="F601" t="s">
        <v>19</v>
      </c>
      <c r="G601" t="s">
        <v>21</v>
      </c>
      <c r="H601" t="s">
        <v>15</v>
      </c>
      <c r="I601">
        <v>1</v>
      </c>
      <c r="J601" t="s">
        <v>22</v>
      </c>
      <c r="K601" t="s">
        <v>32</v>
      </c>
      <c r="L601">
        <v>57</v>
      </c>
      <c r="M601" t="str">
        <f t="shared" si="9"/>
        <v>Old Age</v>
      </c>
      <c r="N601" t="s">
        <v>15</v>
      </c>
    </row>
    <row r="602" spans="1:14" x14ac:dyDescent="0.35">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5">
        <v>70000</v>
      </c>
      <c r="E609">
        <v>5</v>
      </c>
      <c r="F609" t="s">
        <v>31</v>
      </c>
      <c r="G609" t="s">
        <v>21</v>
      </c>
      <c r="H609" t="s">
        <v>15</v>
      </c>
      <c r="I609">
        <v>3</v>
      </c>
      <c r="J609" t="s">
        <v>44</v>
      </c>
      <c r="K609" t="s">
        <v>32</v>
      </c>
      <c r="L609">
        <v>46</v>
      </c>
      <c r="M609" t="str">
        <f t="shared" si="9"/>
        <v>Middle Age</v>
      </c>
      <c r="N609" t="s">
        <v>15</v>
      </c>
    </row>
    <row r="610" spans="1:14" x14ac:dyDescent="0.35">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5">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5">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5">
        <v>70000</v>
      </c>
      <c r="E623">
        <v>4</v>
      </c>
      <c r="F623" t="s">
        <v>13</v>
      </c>
      <c r="G623" t="s">
        <v>28</v>
      </c>
      <c r="H623" t="s">
        <v>15</v>
      </c>
      <c r="I623">
        <v>1</v>
      </c>
      <c r="J623" t="s">
        <v>26</v>
      </c>
      <c r="K623" t="s">
        <v>32</v>
      </c>
      <c r="L623">
        <v>58</v>
      </c>
      <c r="M623" t="str">
        <f t="shared" si="9"/>
        <v>Old Age</v>
      </c>
      <c r="N623" t="s">
        <v>18</v>
      </c>
    </row>
    <row r="624" spans="1:14" x14ac:dyDescent="0.35">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5">
        <v>70000</v>
      </c>
      <c r="E625">
        <v>4</v>
      </c>
      <c r="F625" t="s">
        <v>19</v>
      </c>
      <c r="G625" t="s">
        <v>21</v>
      </c>
      <c r="H625" t="s">
        <v>15</v>
      </c>
      <c r="I625">
        <v>1</v>
      </c>
      <c r="J625" t="s">
        <v>26</v>
      </c>
      <c r="K625" t="s">
        <v>32</v>
      </c>
      <c r="L625">
        <v>55</v>
      </c>
      <c r="M625" t="str">
        <f t="shared" si="9"/>
        <v>Old Age</v>
      </c>
      <c r="N625" t="s">
        <v>18</v>
      </c>
    </row>
    <row r="626" spans="1:14" x14ac:dyDescent="0.35">
      <c r="A626">
        <v>25943</v>
      </c>
      <c r="B626" t="s">
        <v>37</v>
      </c>
      <c r="C626" t="s">
        <v>38</v>
      </c>
      <c r="D626" s="5">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5">
        <v>60000</v>
      </c>
      <c r="E627">
        <v>3</v>
      </c>
      <c r="F627" t="s">
        <v>31</v>
      </c>
      <c r="G627" t="s">
        <v>28</v>
      </c>
      <c r="H627" t="s">
        <v>15</v>
      </c>
      <c r="I627">
        <v>2</v>
      </c>
      <c r="J627" t="s">
        <v>26</v>
      </c>
      <c r="K627" t="s">
        <v>32</v>
      </c>
      <c r="L627">
        <v>67</v>
      </c>
      <c r="M627" t="str">
        <f t="shared" si="9"/>
        <v>Old Age</v>
      </c>
      <c r="N627" t="s">
        <v>18</v>
      </c>
    </row>
    <row r="628" spans="1:14" x14ac:dyDescent="0.35">
      <c r="A628">
        <v>20414</v>
      </c>
      <c r="B628" t="s">
        <v>36</v>
      </c>
      <c r="C628" t="s">
        <v>38</v>
      </c>
      <c r="D628" s="5">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5">
        <v>60000</v>
      </c>
      <c r="E629">
        <v>3</v>
      </c>
      <c r="F629" t="s">
        <v>31</v>
      </c>
      <c r="G629" t="s">
        <v>28</v>
      </c>
      <c r="H629" t="s">
        <v>15</v>
      </c>
      <c r="I629">
        <v>2</v>
      </c>
      <c r="J629" t="s">
        <v>26</v>
      </c>
      <c r="K629" t="s">
        <v>32</v>
      </c>
      <c r="L629">
        <v>67</v>
      </c>
      <c r="M629" t="str">
        <f t="shared" si="9"/>
        <v>Old Age</v>
      </c>
      <c r="N629" t="s">
        <v>18</v>
      </c>
    </row>
    <row r="630" spans="1:14" x14ac:dyDescent="0.35">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5">
        <v>60000</v>
      </c>
      <c r="E636">
        <v>3</v>
      </c>
      <c r="F636" t="s">
        <v>13</v>
      </c>
      <c r="G636" t="s">
        <v>28</v>
      </c>
      <c r="H636" t="s">
        <v>18</v>
      </c>
      <c r="I636">
        <v>2</v>
      </c>
      <c r="J636" t="s">
        <v>26</v>
      </c>
      <c r="K636" t="s">
        <v>32</v>
      </c>
      <c r="L636">
        <v>66</v>
      </c>
      <c r="M636" t="str">
        <f t="shared" si="9"/>
        <v>Old Age</v>
      </c>
      <c r="N636" t="s">
        <v>18</v>
      </c>
    </row>
    <row r="637" spans="1:14" x14ac:dyDescent="0.35">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5">
        <v>70000</v>
      </c>
      <c r="E640">
        <v>0</v>
      </c>
      <c r="F640" t="s">
        <v>31</v>
      </c>
      <c r="G640" t="s">
        <v>28</v>
      </c>
      <c r="H640" t="s">
        <v>15</v>
      </c>
      <c r="I640">
        <v>2</v>
      </c>
      <c r="J640" t="s">
        <v>23</v>
      </c>
      <c r="K640" t="s">
        <v>32</v>
      </c>
      <c r="L640">
        <v>74</v>
      </c>
      <c r="M640" t="str">
        <f t="shared" si="9"/>
        <v>Old Age</v>
      </c>
      <c r="N640" t="s">
        <v>15</v>
      </c>
    </row>
    <row r="641" spans="1:14" x14ac:dyDescent="0.35">
      <c r="A641">
        <v>14507</v>
      </c>
      <c r="B641" t="s">
        <v>36</v>
      </c>
      <c r="C641" t="s">
        <v>39</v>
      </c>
      <c r="D641" s="5">
        <v>100000</v>
      </c>
      <c r="E641">
        <v>2</v>
      </c>
      <c r="F641" t="s">
        <v>31</v>
      </c>
      <c r="G641" t="s">
        <v>28</v>
      </c>
      <c r="H641" t="s">
        <v>15</v>
      </c>
      <c r="I641">
        <v>3</v>
      </c>
      <c r="J641" t="s">
        <v>26</v>
      </c>
      <c r="K641" t="s">
        <v>32</v>
      </c>
      <c r="L641">
        <v>65</v>
      </c>
      <c r="M641" t="str">
        <f t="shared" si="9"/>
        <v>Old Age</v>
      </c>
      <c r="N641" t="s">
        <v>18</v>
      </c>
    </row>
    <row r="642" spans="1:14" x14ac:dyDescent="0.35">
      <c r="A642">
        <v>25886</v>
      </c>
      <c r="B642" t="s">
        <v>36</v>
      </c>
      <c r="C642" t="s">
        <v>38</v>
      </c>
      <c r="D642" s="5">
        <v>60000</v>
      </c>
      <c r="E642">
        <v>2</v>
      </c>
      <c r="F642" t="s">
        <v>19</v>
      </c>
      <c r="G642" t="s">
        <v>21</v>
      </c>
      <c r="H642" t="s">
        <v>15</v>
      </c>
      <c r="I642">
        <v>2</v>
      </c>
      <c r="J642" t="s">
        <v>22</v>
      </c>
      <c r="K642" t="s">
        <v>32</v>
      </c>
      <c r="L642">
        <v>56</v>
      </c>
      <c r="M642" t="str">
        <f t="shared" si="9"/>
        <v>Old Age</v>
      </c>
      <c r="N642" t="s">
        <v>15</v>
      </c>
    </row>
    <row r="643" spans="1:14" x14ac:dyDescent="0.35">
      <c r="A643">
        <v>21441</v>
      </c>
      <c r="B643" t="s">
        <v>36</v>
      </c>
      <c r="C643" t="s">
        <v>39</v>
      </c>
      <c r="D643" s="5">
        <v>50000</v>
      </c>
      <c r="E643">
        <v>4</v>
      </c>
      <c r="F643" t="s">
        <v>13</v>
      </c>
      <c r="G643" t="s">
        <v>28</v>
      </c>
      <c r="H643" t="s">
        <v>15</v>
      </c>
      <c r="I643">
        <v>2</v>
      </c>
      <c r="J643" t="s">
        <v>44</v>
      </c>
      <c r="K643" t="s">
        <v>32</v>
      </c>
      <c r="L643">
        <v>64</v>
      </c>
      <c r="M643" t="str">
        <f t="shared" ref="M643:M706" si="10">IF(L643&lt;=31,"Adolescent", IF(L643&gt;=54, "Old Age","Middle Age"))</f>
        <v>Old Age</v>
      </c>
      <c r="N643" t="s">
        <v>18</v>
      </c>
    </row>
    <row r="644" spans="1:14" x14ac:dyDescent="0.35">
      <c r="A644">
        <v>21741</v>
      </c>
      <c r="B644" t="s">
        <v>36</v>
      </c>
      <c r="C644" t="s">
        <v>38</v>
      </c>
      <c r="D644" s="5">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5">
        <v>60000</v>
      </c>
      <c r="E646">
        <v>5</v>
      </c>
      <c r="F646" t="s">
        <v>13</v>
      </c>
      <c r="G646" t="s">
        <v>14</v>
      </c>
      <c r="H646" t="s">
        <v>15</v>
      </c>
      <c r="I646">
        <v>3</v>
      </c>
      <c r="J646" t="s">
        <v>44</v>
      </c>
      <c r="K646" t="s">
        <v>32</v>
      </c>
      <c r="L646">
        <v>41</v>
      </c>
      <c r="M646" t="str">
        <f t="shared" si="10"/>
        <v>Middle Age</v>
      </c>
      <c r="N646" t="s">
        <v>18</v>
      </c>
    </row>
    <row r="647" spans="1:14" x14ac:dyDescent="0.35">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5">
        <v>40000</v>
      </c>
      <c r="E649">
        <v>0</v>
      </c>
      <c r="F649" t="s">
        <v>27</v>
      </c>
      <c r="G649" t="s">
        <v>14</v>
      </c>
      <c r="H649" t="s">
        <v>15</v>
      </c>
      <c r="I649">
        <v>2</v>
      </c>
      <c r="J649" t="s">
        <v>23</v>
      </c>
      <c r="K649" t="s">
        <v>32</v>
      </c>
      <c r="L649">
        <v>31</v>
      </c>
      <c r="M649" t="str">
        <f t="shared" si="10"/>
        <v>Adolescent</v>
      </c>
      <c r="N649" t="s">
        <v>18</v>
      </c>
    </row>
    <row r="650" spans="1:14" x14ac:dyDescent="0.35">
      <c r="A650">
        <v>25872</v>
      </c>
      <c r="B650" t="s">
        <v>37</v>
      </c>
      <c r="C650" t="s">
        <v>38</v>
      </c>
      <c r="D650" s="5">
        <v>70000</v>
      </c>
      <c r="E650">
        <v>2</v>
      </c>
      <c r="F650" t="s">
        <v>13</v>
      </c>
      <c r="G650" t="s">
        <v>28</v>
      </c>
      <c r="H650" t="s">
        <v>18</v>
      </c>
      <c r="I650">
        <v>1</v>
      </c>
      <c r="J650" t="s">
        <v>22</v>
      </c>
      <c r="K650" t="s">
        <v>32</v>
      </c>
      <c r="L650">
        <v>58</v>
      </c>
      <c r="M650" t="str">
        <f t="shared" si="10"/>
        <v>Old Age</v>
      </c>
      <c r="N650" t="s">
        <v>15</v>
      </c>
    </row>
    <row r="651" spans="1:14" x14ac:dyDescent="0.35">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5">
        <v>70000</v>
      </c>
      <c r="E652">
        <v>5</v>
      </c>
      <c r="F652" t="s">
        <v>31</v>
      </c>
      <c r="G652" t="s">
        <v>28</v>
      </c>
      <c r="H652" t="s">
        <v>15</v>
      </c>
      <c r="I652">
        <v>2</v>
      </c>
      <c r="J652" t="s">
        <v>44</v>
      </c>
      <c r="K652" t="s">
        <v>32</v>
      </c>
      <c r="L652">
        <v>67</v>
      </c>
      <c r="M652" t="str">
        <f t="shared" si="10"/>
        <v>Old Age</v>
      </c>
      <c r="N652" t="s">
        <v>15</v>
      </c>
    </row>
    <row r="653" spans="1:14" x14ac:dyDescent="0.35">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5">
        <v>30000</v>
      </c>
      <c r="E655">
        <v>0</v>
      </c>
      <c r="F655" t="s">
        <v>27</v>
      </c>
      <c r="G655" t="s">
        <v>14</v>
      </c>
      <c r="H655" t="s">
        <v>18</v>
      </c>
      <c r="I655">
        <v>2</v>
      </c>
      <c r="J655" t="s">
        <v>26</v>
      </c>
      <c r="K655" t="s">
        <v>32</v>
      </c>
      <c r="L655">
        <v>31</v>
      </c>
      <c r="M655" t="str">
        <f t="shared" si="10"/>
        <v>Adolescent</v>
      </c>
      <c r="N655" t="s">
        <v>15</v>
      </c>
    </row>
    <row r="656" spans="1:14" x14ac:dyDescent="0.35">
      <c r="A656">
        <v>29106</v>
      </c>
      <c r="B656" t="s">
        <v>37</v>
      </c>
      <c r="C656" t="s">
        <v>39</v>
      </c>
      <c r="D656" s="5">
        <v>40000</v>
      </c>
      <c r="E656">
        <v>0</v>
      </c>
      <c r="F656" t="s">
        <v>27</v>
      </c>
      <c r="G656" t="s">
        <v>14</v>
      </c>
      <c r="H656" t="s">
        <v>18</v>
      </c>
      <c r="I656">
        <v>2</v>
      </c>
      <c r="J656" t="s">
        <v>26</v>
      </c>
      <c r="K656" t="s">
        <v>32</v>
      </c>
      <c r="L656">
        <v>31</v>
      </c>
      <c r="M656" t="str">
        <f t="shared" si="10"/>
        <v>Adolescent</v>
      </c>
      <c r="N656" t="s">
        <v>15</v>
      </c>
    </row>
    <row r="657" spans="1:14" x14ac:dyDescent="0.35">
      <c r="A657">
        <v>26236</v>
      </c>
      <c r="B657" t="s">
        <v>36</v>
      </c>
      <c r="C657" t="s">
        <v>38</v>
      </c>
      <c r="D657" s="5">
        <v>40000</v>
      </c>
      <c r="E657">
        <v>3</v>
      </c>
      <c r="F657" t="s">
        <v>19</v>
      </c>
      <c r="G657" t="s">
        <v>20</v>
      </c>
      <c r="H657" t="s">
        <v>15</v>
      </c>
      <c r="I657">
        <v>1</v>
      </c>
      <c r="J657" t="s">
        <v>16</v>
      </c>
      <c r="K657" t="s">
        <v>32</v>
      </c>
      <c r="L657">
        <v>31</v>
      </c>
      <c r="M657" t="str">
        <f t="shared" si="10"/>
        <v>Adolescent</v>
      </c>
      <c r="N657" t="s">
        <v>18</v>
      </c>
    </row>
    <row r="658" spans="1:14" x14ac:dyDescent="0.35">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5">
        <v>60000</v>
      </c>
      <c r="E661">
        <v>4</v>
      </c>
      <c r="F661" t="s">
        <v>13</v>
      </c>
      <c r="G661" t="s">
        <v>28</v>
      </c>
      <c r="H661" t="s">
        <v>15</v>
      </c>
      <c r="I661">
        <v>2</v>
      </c>
      <c r="J661" t="s">
        <v>44</v>
      </c>
      <c r="K661" t="s">
        <v>32</v>
      </c>
      <c r="L661">
        <v>63</v>
      </c>
      <c r="M661" t="str">
        <f t="shared" si="10"/>
        <v>Old Age</v>
      </c>
      <c r="N661" t="s">
        <v>18</v>
      </c>
    </row>
    <row r="662" spans="1:14" x14ac:dyDescent="0.35">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5">
        <v>40000</v>
      </c>
      <c r="E669">
        <v>5</v>
      </c>
      <c r="F669" t="s">
        <v>27</v>
      </c>
      <c r="G669" t="s">
        <v>21</v>
      </c>
      <c r="H669" t="s">
        <v>18</v>
      </c>
      <c r="I669">
        <v>2</v>
      </c>
      <c r="J669" t="s">
        <v>44</v>
      </c>
      <c r="K669" t="s">
        <v>32</v>
      </c>
      <c r="L669">
        <v>61</v>
      </c>
      <c r="M669" t="str">
        <f t="shared" si="10"/>
        <v>Old Age</v>
      </c>
      <c r="N669" t="s">
        <v>18</v>
      </c>
    </row>
    <row r="670" spans="1:14" x14ac:dyDescent="0.35">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5">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5">
        <v>70000</v>
      </c>
      <c r="E672">
        <v>2</v>
      </c>
      <c r="F672" t="s">
        <v>19</v>
      </c>
      <c r="G672" t="s">
        <v>21</v>
      </c>
      <c r="H672" t="s">
        <v>15</v>
      </c>
      <c r="I672">
        <v>1</v>
      </c>
      <c r="J672" t="s">
        <v>44</v>
      </c>
      <c r="K672" t="s">
        <v>32</v>
      </c>
      <c r="L672">
        <v>59</v>
      </c>
      <c r="M672" t="str">
        <f t="shared" si="10"/>
        <v>Old Age</v>
      </c>
      <c r="N672" t="s">
        <v>18</v>
      </c>
    </row>
    <row r="673" spans="1:14" x14ac:dyDescent="0.35">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5">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5">
        <v>80000</v>
      </c>
      <c r="E680">
        <v>5</v>
      </c>
      <c r="F680" t="s">
        <v>13</v>
      </c>
      <c r="G680" t="s">
        <v>28</v>
      </c>
      <c r="H680" t="s">
        <v>18</v>
      </c>
      <c r="I680">
        <v>2</v>
      </c>
      <c r="J680" t="s">
        <v>22</v>
      </c>
      <c r="K680" t="s">
        <v>17</v>
      </c>
      <c r="L680">
        <v>62</v>
      </c>
      <c r="M680" t="str">
        <f t="shared" si="10"/>
        <v>Old Age</v>
      </c>
      <c r="N680" t="s">
        <v>18</v>
      </c>
    </row>
    <row r="681" spans="1:14" x14ac:dyDescent="0.35">
      <c r="A681">
        <v>21770</v>
      </c>
      <c r="B681" t="s">
        <v>36</v>
      </c>
      <c r="C681" t="s">
        <v>39</v>
      </c>
      <c r="D681" s="5">
        <v>60000</v>
      </c>
      <c r="E681">
        <v>4</v>
      </c>
      <c r="F681" t="s">
        <v>13</v>
      </c>
      <c r="G681" t="s">
        <v>28</v>
      </c>
      <c r="H681" t="s">
        <v>15</v>
      </c>
      <c r="I681">
        <v>2</v>
      </c>
      <c r="J681" t="s">
        <v>44</v>
      </c>
      <c r="K681" t="s">
        <v>32</v>
      </c>
      <c r="L681">
        <v>60</v>
      </c>
      <c r="M681" t="str">
        <f t="shared" si="10"/>
        <v>Old Age</v>
      </c>
      <c r="N681" t="s">
        <v>18</v>
      </c>
    </row>
    <row r="682" spans="1:14" x14ac:dyDescent="0.35">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5">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5">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5">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5">
        <v>70000</v>
      </c>
      <c r="E702">
        <v>4</v>
      </c>
      <c r="F702" t="s">
        <v>13</v>
      </c>
      <c r="G702" t="s">
        <v>28</v>
      </c>
      <c r="H702" t="s">
        <v>15</v>
      </c>
      <c r="I702">
        <v>1</v>
      </c>
      <c r="J702" t="s">
        <v>26</v>
      </c>
      <c r="K702" t="s">
        <v>32</v>
      </c>
      <c r="L702">
        <v>59</v>
      </c>
      <c r="M702" t="str">
        <f t="shared" si="10"/>
        <v>Old Age</v>
      </c>
      <c r="N702" t="s">
        <v>18</v>
      </c>
    </row>
    <row r="703" spans="1:14" x14ac:dyDescent="0.35">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5">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5">
        <v>70000</v>
      </c>
      <c r="E707">
        <v>4</v>
      </c>
      <c r="F707" t="s">
        <v>13</v>
      </c>
      <c r="G707" t="s">
        <v>28</v>
      </c>
      <c r="H707" t="s">
        <v>15</v>
      </c>
      <c r="I707">
        <v>1</v>
      </c>
      <c r="J707" t="s">
        <v>44</v>
      </c>
      <c r="K707" t="s">
        <v>32</v>
      </c>
      <c r="L707">
        <v>59</v>
      </c>
      <c r="M707" t="str">
        <f t="shared" ref="M707:M770" si="11">IF(L707&lt;=31,"Adolescent", IF(L707&gt;=54, "Old Age","Middle Age"))</f>
        <v>Old Age</v>
      </c>
      <c r="N707" t="s">
        <v>18</v>
      </c>
    </row>
    <row r="708" spans="1:14" x14ac:dyDescent="0.35">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5">
        <v>70000</v>
      </c>
      <c r="E710">
        <v>5</v>
      </c>
      <c r="F710" t="s">
        <v>13</v>
      </c>
      <c r="G710" t="s">
        <v>28</v>
      </c>
      <c r="H710" t="s">
        <v>15</v>
      </c>
      <c r="I710">
        <v>4</v>
      </c>
      <c r="J710" t="s">
        <v>44</v>
      </c>
      <c r="K710" t="s">
        <v>32</v>
      </c>
      <c r="L710">
        <v>60</v>
      </c>
      <c r="M710" t="str">
        <f t="shared" si="11"/>
        <v>Old Age</v>
      </c>
      <c r="N710" t="s">
        <v>18</v>
      </c>
    </row>
    <row r="711" spans="1:14" x14ac:dyDescent="0.35">
      <c r="A711">
        <v>23712</v>
      </c>
      <c r="B711" t="s">
        <v>37</v>
      </c>
      <c r="C711" t="s">
        <v>38</v>
      </c>
      <c r="D711" s="5">
        <v>70000</v>
      </c>
      <c r="E711">
        <v>2</v>
      </c>
      <c r="F711" t="s">
        <v>13</v>
      </c>
      <c r="G711" t="s">
        <v>28</v>
      </c>
      <c r="H711" t="s">
        <v>15</v>
      </c>
      <c r="I711">
        <v>1</v>
      </c>
      <c r="J711" t="s">
        <v>44</v>
      </c>
      <c r="K711" t="s">
        <v>32</v>
      </c>
      <c r="L711">
        <v>59</v>
      </c>
      <c r="M711" t="str">
        <f t="shared" si="11"/>
        <v>Old Age</v>
      </c>
      <c r="N711" t="s">
        <v>18</v>
      </c>
    </row>
    <row r="712" spans="1:14" x14ac:dyDescent="0.35">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5">
        <v>70000</v>
      </c>
      <c r="E713">
        <v>2</v>
      </c>
      <c r="F713" t="s">
        <v>19</v>
      </c>
      <c r="G713" t="s">
        <v>21</v>
      </c>
      <c r="H713" t="s">
        <v>15</v>
      </c>
      <c r="I713">
        <v>1</v>
      </c>
      <c r="J713" t="s">
        <v>44</v>
      </c>
      <c r="K713" t="s">
        <v>32</v>
      </c>
      <c r="L713">
        <v>58</v>
      </c>
      <c r="M713" t="str">
        <f t="shared" si="11"/>
        <v>Old Age</v>
      </c>
      <c r="N713" t="s">
        <v>18</v>
      </c>
    </row>
    <row r="714" spans="1:14" x14ac:dyDescent="0.35">
      <c r="A714">
        <v>28026</v>
      </c>
      <c r="B714" t="s">
        <v>36</v>
      </c>
      <c r="C714" t="s">
        <v>38</v>
      </c>
      <c r="D714" s="5">
        <v>40000</v>
      </c>
      <c r="E714">
        <v>2</v>
      </c>
      <c r="F714" t="s">
        <v>27</v>
      </c>
      <c r="G714" t="s">
        <v>21</v>
      </c>
      <c r="H714" t="s">
        <v>18</v>
      </c>
      <c r="I714">
        <v>2</v>
      </c>
      <c r="J714" t="s">
        <v>22</v>
      </c>
      <c r="K714" t="s">
        <v>32</v>
      </c>
      <c r="L714">
        <v>59</v>
      </c>
      <c r="M714" t="str">
        <f t="shared" si="11"/>
        <v>Old Age</v>
      </c>
      <c r="N714" t="s">
        <v>18</v>
      </c>
    </row>
    <row r="715" spans="1:14" x14ac:dyDescent="0.35">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5">
        <v>40000</v>
      </c>
      <c r="E722">
        <v>5</v>
      </c>
      <c r="F722" t="s">
        <v>27</v>
      </c>
      <c r="G722" t="s">
        <v>21</v>
      </c>
      <c r="H722" t="s">
        <v>18</v>
      </c>
      <c r="I722">
        <v>3</v>
      </c>
      <c r="J722" t="s">
        <v>22</v>
      </c>
      <c r="K722" t="s">
        <v>32</v>
      </c>
      <c r="L722">
        <v>60</v>
      </c>
      <c r="M722" t="str">
        <f t="shared" si="11"/>
        <v>Old Age</v>
      </c>
      <c r="N722" t="s">
        <v>15</v>
      </c>
    </row>
    <row r="723" spans="1:14" x14ac:dyDescent="0.35">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5">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5">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5">
        <v>40000</v>
      </c>
      <c r="E738">
        <v>0</v>
      </c>
      <c r="F738" t="s">
        <v>27</v>
      </c>
      <c r="G738" t="s">
        <v>14</v>
      </c>
      <c r="H738" t="s">
        <v>15</v>
      </c>
      <c r="I738">
        <v>1</v>
      </c>
      <c r="J738" t="s">
        <v>23</v>
      </c>
      <c r="K738" t="s">
        <v>32</v>
      </c>
      <c r="L738">
        <v>31</v>
      </c>
      <c r="M738" t="str">
        <f t="shared" si="11"/>
        <v>Adolescent</v>
      </c>
      <c r="N738" t="s">
        <v>18</v>
      </c>
    </row>
    <row r="739" spans="1:14" x14ac:dyDescent="0.35">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5">
        <v>60000</v>
      </c>
      <c r="E741">
        <v>2</v>
      </c>
      <c r="F741" t="s">
        <v>19</v>
      </c>
      <c r="G741" t="s">
        <v>21</v>
      </c>
      <c r="H741" t="s">
        <v>15</v>
      </c>
      <c r="I741">
        <v>1</v>
      </c>
      <c r="J741" t="s">
        <v>44</v>
      </c>
      <c r="K741" t="s">
        <v>32</v>
      </c>
      <c r="L741">
        <v>55</v>
      </c>
      <c r="M741" t="str">
        <f t="shared" si="11"/>
        <v>Old Age</v>
      </c>
      <c r="N741" t="s">
        <v>18</v>
      </c>
    </row>
    <row r="742" spans="1:14" x14ac:dyDescent="0.35">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5">
        <v>70000</v>
      </c>
      <c r="E746">
        <v>4</v>
      </c>
      <c r="F746" t="s">
        <v>19</v>
      </c>
      <c r="G746" t="s">
        <v>21</v>
      </c>
      <c r="H746" t="s">
        <v>15</v>
      </c>
      <c r="I746">
        <v>1</v>
      </c>
      <c r="J746" t="s">
        <v>44</v>
      </c>
      <c r="K746" t="s">
        <v>32</v>
      </c>
      <c r="L746">
        <v>56</v>
      </c>
      <c r="M746" t="str">
        <f t="shared" si="11"/>
        <v>Old Age</v>
      </c>
      <c r="N746" t="s">
        <v>18</v>
      </c>
    </row>
    <row r="747" spans="1:14" x14ac:dyDescent="0.35">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5">
        <v>60000</v>
      </c>
      <c r="E748">
        <v>2</v>
      </c>
      <c r="F748" t="s">
        <v>13</v>
      </c>
      <c r="G748" t="s">
        <v>28</v>
      </c>
      <c r="H748" t="s">
        <v>15</v>
      </c>
      <c r="I748">
        <v>0</v>
      </c>
      <c r="J748" t="s">
        <v>44</v>
      </c>
      <c r="K748" t="s">
        <v>32</v>
      </c>
      <c r="L748">
        <v>56</v>
      </c>
      <c r="M748" t="str">
        <f t="shared" si="11"/>
        <v>Old Age</v>
      </c>
      <c r="N748" t="s">
        <v>18</v>
      </c>
    </row>
    <row r="749" spans="1:14" x14ac:dyDescent="0.35">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5">
        <v>130000</v>
      </c>
      <c r="E750">
        <v>2</v>
      </c>
      <c r="F750" t="s">
        <v>31</v>
      </c>
      <c r="G750" t="s">
        <v>28</v>
      </c>
      <c r="H750" t="s">
        <v>15</v>
      </c>
      <c r="I750">
        <v>3</v>
      </c>
      <c r="J750" t="s">
        <v>22</v>
      </c>
      <c r="K750" t="s">
        <v>32</v>
      </c>
      <c r="L750">
        <v>69</v>
      </c>
      <c r="M750" t="str">
        <f t="shared" si="11"/>
        <v>Old Age</v>
      </c>
      <c r="N750" t="s">
        <v>18</v>
      </c>
    </row>
    <row r="751" spans="1:14" x14ac:dyDescent="0.35">
      <c r="A751">
        <v>20514</v>
      </c>
      <c r="B751" t="s">
        <v>36</v>
      </c>
      <c r="C751" t="s">
        <v>38</v>
      </c>
      <c r="D751" s="5">
        <v>70000</v>
      </c>
      <c r="E751">
        <v>2</v>
      </c>
      <c r="F751" t="s">
        <v>19</v>
      </c>
      <c r="G751" t="s">
        <v>21</v>
      </c>
      <c r="H751" t="s">
        <v>15</v>
      </c>
      <c r="I751">
        <v>1</v>
      </c>
      <c r="J751" t="s">
        <v>22</v>
      </c>
      <c r="K751" t="s">
        <v>32</v>
      </c>
      <c r="L751">
        <v>59</v>
      </c>
      <c r="M751" t="str">
        <f t="shared" si="11"/>
        <v>Old Age</v>
      </c>
      <c r="N751" t="s">
        <v>18</v>
      </c>
    </row>
    <row r="752" spans="1:14" x14ac:dyDescent="0.35">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5">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5">
        <v>40000</v>
      </c>
      <c r="E756">
        <v>4</v>
      </c>
      <c r="F756" t="s">
        <v>27</v>
      </c>
      <c r="G756" t="s">
        <v>21</v>
      </c>
      <c r="H756" t="s">
        <v>15</v>
      </c>
      <c r="I756">
        <v>2</v>
      </c>
      <c r="J756" t="s">
        <v>23</v>
      </c>
      <c r="K756" t="s">
        <v>32</v>
      </c>
      <c r="L756">
        <v>59</v>
      </c>
      <c r="M756" t="str">
        <f t="shared" si="11"/>
        <v>Old Age</v>
      </c>
      <c r="N756" t="s">
        <v>15</v>
      </c>
    </row>
    <row r="757" spans="1:14" x14ac:dyDescent="0.35">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5">
        <v>60000</v>
      </c>
      <c r="E763">
        <v>5</v>
      </c>
      <c r="F763" t="s">
        <v>13</v>
      </c>
      <c r="G763" t="s">
        <v>28</v>
      </c>
      <c r="H763" t="s">
        <v>15</v>
      </c>
      <c r="I763">
        <v>3</v>
      </c>
      <c r="J763" t="s">
        <v>44</v>
      </c>
      <c r="K763" t="s">
        <v>32</v>
      </c>
      <c r="L763">
        <v>59</v>
      </c>
      <c r="M763" t="str">
        <f t="shared" si="11"/>
        <v>Old Age</v>
      </c>
      <c r="N763" t="s">
        <v>18</v>
      </c>
    </row>
    <row r="764" spans="1:14" x14ac:dyDescent="0.35">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5">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5">
        <v>50000</v>
      </c>
      <c r="E768">
        <v>4</v>
      </c>
      <c r="F768" t="s">
        <v>13</v>
      </c>
      <c r="G768" t="s">
        <v>14</v>
      </c>
      <c r="H768" t="s">
        <v>15</v>
      </c>
      <c r="I768">
        <v>3</v>
      </c>
      <c r="J768" t="s">
        <v>44</v>
      </c>
      <c r="K768" t="s">
        <v>32</v>
      </c>
      <c r="L768">
        <v>42</v>
      </c>
      <c r="M768" t="str">
        <f t="shared" si="11"/>
        <v>Middle Age</v>
      </c>
      <c r="N768" t="s">
        <v>18</v>
      </c>
    </row>
    <row r="769" spans="1:14" x14ac:dyDescent="0.35">
      <c r="A769">
        <v>24979</v>
      </c>
      <c r="B769" t="s">
        <v>36</v>
      </c>
      <c r="C769" t="s">
        <v>38</v>
      </c>
      <c r="D769" s="5">
        <v>60000</v>
      </c>
      <c r="E769">
        <v>2</v>
      </c>
      <c r="F769" t="s">
        <v>19</v>
      </c>
      <c r="G769" t="s">
        <v>21</v>
      </c>
      <c r="H769" t="s">
        <v>15</v>
      </c>
      <c r="I769">
        <v>2</v>
      </c>
      <c r="J769" t="s">
        <v>22</v>
      </c>
      <c r="K769" t="s">
        <v>32</v>
      </c>
      <c r="L769">
        <v>57</v>
      </c>
      <c r="M769" t="str">
        <f t="shared" si="11"/>
        <v>Old Age</v>
      </c>
      <c r="N769" t="s">
        <v>15</v>
      </c>
    </row>
    <row r="770" spans="1:14" x14ac:dyDescent="0.35">
      <c r="A770">
        <v>13313</v>
      </c>
      <c r="B770" t="s">
        <v>36</v>
      </c>
      <c r="C770" t="s">
        <v>38</v>
      </c>
      <c r="D770" s="5">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5">
        <v>100000</v>
      </c>
      <c r="E771">
        <v>4</v>
      </c>
      <c r="F771" t="s">
        <v>13</v>
      </c>
      <c r="G771" t="s">
        <v>28</v>
      </c>
      <c r="H771" t="s">
        <v>15</v>
      </c>
      <c r="I771">
        <v>4</v>
      </c>
      <c r="J771" t="s">
        <v>16</v>
      </c>
      <c r="K771" t="s">
        <v>32</v>
      </c>
      <c r="L771">
        <v>40</v>
      </c>
      <c r="M771" t="str">
        <f t="shared" ref="M771:M834" si="12">IF(L771&lt;=31,"Adolescent", IF(L771&gt;=54, "Old Age","Middle Age"))</f>
        <v>Middle Age</v>
      </c>
      <c r="N771" t="s">
        <v>18</v>
      </c>
    </row>
    <row r="772" spans="1:14" x14ac:dyDescent="0.35">
      <c r="A772">
        <v>17699</v>
      </c>
      <c r="B772" t="s">
        <v>36</v>
      </c>
      <c r="C772" t="s">
        <v>39</v>
      </c>
      <c r="D772" s="5">
        <v>60000</v>
      </c>
      <c r="E772">
        <v>1</v>
      </c>
      <c r="F772" t="s">
        <v>31</v>
      </c>
      <c r="G772" t="s">
        <v>14</v>
      </c>
      <c r="H772" t="s">
        <v>18</v>
      </c>
      <c r="I772">
        <v>0</v>
      </c>
      <c r="J772" t="s">
        <v>16</v>
      </c>
      <c r="K772" t="s">
        <v>32</v>
      </c>
      <c r="L772">
        <v>55</v>
      </c>
      <c r="M772" t="str">
        <f t="shared" si="12"/>
        <v>Old Age</v>
      </c>
      <c r="N772" t="s">
        <v>18</v>
      </c>
    </row>
    <row r="773" spans="1:14" x14ac:dyDescent="0.35">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5">
        <v>70000</v>
      </c>
      <c r="E777">
        <v>2</v>
      </c>
      <c r="F777" t="s">
        <v>29</v>
      </c>
      <c r="G777" t="s">
        <v>14</v>
      </c>
      <c r="H777" t="s">
        <v>15</v>
      </c>
      <c r="I777">
        <v>2</v>
      </c>
      <c r="J777" t="s">
        <v>44</v>
      </c>
      <c r="K777" t="s">
        <v>32</v>
      </c>
      <c r="L777">
        <v>54</v>
      </c>
      <c r="M777" t="str">
        <f t="shared" si="12"/>
        <v>Old Age</v>
      </c>
      <c r="N777" t="s">
        <v>18</v>
      </c>
    </row>
    <row r="778" spans="1:14" x14ac:dyDescent="0.35">
      <c r="A778">
        <v>26490</v>
      </c>
      <c r="B778" t="s">
        <v>37</v>
      </c>
      <c r="C778" t="s">
        <v>39</v>
      </c>
      <c r="D778" s="5">
        <v>70000</v>
      </c>
      <c r="E778">
        <v>2</v>
      </c>
      <c r="F778" t="s">
        <v>13</v>
      </c>
      <c r="G778" t="s">
        <v>28</v>
      </c>
      <c r="H778" t="s">
        <v>18</v>
      </c>
      <c r="I778">
        <v>1</v>
      </c>
      <c r="J778" t="s">
        <v>22</v>
      </c>
      <c r="K778" t="s">
        <v>32</v>
      </c>
      <c r="L778">
        <v>59</v>
      </c>
      <c r="M778" t="str">
        <f t="shared" si="12"/>
        <v>Old Age</v>
      </c>
      <c r="N778" t="s">
        <v>15</v>
      </c>
    </row>
    <row r="779" spans="1:14" x14ac:dyDescent="0.35">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5">
        <v>60000</v>
      </c>
      <c r="E782">
        <v>2</v>
      </c>
      <c r="F782" t="s">
        <v>19</v>
      </c>
      <c r="G782" t="s">
        <v>21</v>
      </c>
      <c r="H782" t="s">
        <v>15</v>
      </c>
      <c r="I782">
        <v>1</v>
      </c>
      <c r="J782" t="s">
        <v>44</v>
      </c>
      <c r="K782" t="s">
        <v>32</v>
      </c>
      <c r="L782">
        <v>55</v>
      </c>
      <c r="M782" t="str">
        <f t="shared" si="12"/>
        <v>Old Age</v>
      </c>
      <c r="N782" t="s">
        <v>18</v>
      </c>
    </row>
    <row r="783" spans="1:14" x14ac:dyDescent="0.35">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5">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5">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5">
        <v>70000</v>
      </c>
      <c r="E789">
        <v>2</v>
      </c>
      <c r="F789" t="s">
        <v>13</v>
      </c>
      <c r="G789" t="s">
        <v>28</v>
      </c>
      <c r="H789" t="s">
        <v>18</v>
      </c>
      <c r="I789">
        <v>1</v>
      </c>
      <c r="J789" t="s">
        <v>22</v>
      </c>
      <c r="K789" t="s">
        <v>32</v>
      </c>
      <c r="L789">
        <v>59</v>
      </c>
      <c r="M789" t="str">
        <f t="shared" si="12"/>
        <v>Old Age</v>
      </c>
      <c r="N789" t="s">
        <v>15</v>
      </c>
    </row>
    <row r="790" spans="1:14" x14ac:dyDescent="0.35">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5">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5">
        <v>50000</v>
      </c>
      <c r="E796">
        <v>2</v>
      </c>
      <c r="F796" t="s">
        <v>31</v>
      </c>
      <c r="G796" t="s">
        <v>28</v>
      </c>
      <c r="H796" t="s">
        <v>15</v>
      </c>
      <c r="I796">
        <v>2</v>
      </c>
      <c r="J796" t="s">
        <v>23</v>
      </c>
      <c r="K796" t="s">
        <v>32</v>
      </c>
      <c r="L796">
        <v>69</v>
      </c>
      <c r="M796" t="str">
        <f t="shared" si="12"/>
        <v>Old Age</v>
      </c>
      <c r="N796" t="s">
        <v>18</v>
      </c>
    </row>
    <row r="797" spans="1:14" x14ac:dyDescent="0.35">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5">
        <v>70000</v>
      </c>
      <c r="E798">
        <v>5</v>
      </c>
      <c r="F798" t="s">
        <v>19</v>
      </c>
      <c r="G798" t="s">
        <v>21</v>
      </c>
      <c r="H798" t="s">
        <v>15</v>
      </c>
      <c r="I798">
        <v>2</v>
      </c>
      <c r="J798" t="s">
        <v>26</v>
      </c>
      <c r="K798" t="s">
        <v>32</v>
      </c>
      <c r="L798">
        <v>57</v>
      </c>
      <c r="M798" t="str">
        <f t="shared" si="12"/>
        <v>Old Age</v>
      </c>
      <c r="N798" t="s">
        <v>15</v>
      </c>
    </row>
    <row r="799" spans="1:14" x14ac:dyDescent="0.35">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5">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5">
        <v>70000</v>
      </c>
      <c r="E803">
        <v>4</v>
      </c>
      <c r="F803" t="s">
        <v>31</v>
      </c>
      <c r="G803" t="s">
        <v>28</v>
      </c>
      <c r="H803" t="s">
        <v>15</v>
      </c>
      <c r="I803">
        <v>2</v>
      </c>
      <c r="J803" t="s">
        <v>23</v>
      </c>
      <c r="K803" t="s">
        <v>32</v>
      </c>
      <c r="L803">
        <v>73</v>
      </c>
      <c r="M803" t="str">
        <f t="shared" si="12"/>
        <v>Old Age</v>
      </c>
      <c r="N803" t="s">
        <v>18</v>
      </c>
    </row>
    <row r="804" spans="1:14" x14ac:dyDescent="0.35">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5">
        <v>40000</v>
      </c>
      <c r="E807">
        <v>0</v>
      </c>
      <c r="F807" t="s">
        <v>27</v>
      </c>
      <c r="G807" t="s">
        <v>14</v>
      </c>
      <c r="H807" t="s">
        <v>15</v>
      </c>
      <c r="I807">
        <v>2</v>
      </c>
      <c r="J807" t="s">
        <v>23</v>
      </c>
      <c r="K807" t="s">
        <v>32</v>
      </c>
      <c r="L807">
        <v>31</v>
      </c>
      <c r="M807" t="str">
        <f t="shared" si="12"/>
        <v>Adolescent</v>
      </c>
      <c r="N807" t="s">
        <v>18</v>
      </c>
    </row>
    <row r="808" spans="1:14" x14ac:dyDescent="0.35">
      <c r="A808">
        <v>23248</v>
      </c>
      <c r="B808" t="s">
        <v>36</v>
      </c>
      <c r="C808" t="s">
        <v>38</v>
      </c>
      <c r="D808" s="5">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5">
        <v>40000</v>
      </c>
      <c r="E811">
        <v>4</v>
      </c>
      <c r="F811" t="s">
        <v>27</v>
      </c>
      <c r="G811" t="s">
        <v>21</v>
      </c>
      <c r="H811" t="s">
        <v>15</v>
      </c>
      <c r="I811">
        <v>2</v>
      </c>
      <c r="J811" t="s">
        <v>23</v>
      </c>
      <c r="K811" t="s">
        <v>32</v>
      </c>
      <c r="L811">
        <v>69</v>
      </c>
      <c r="M811" t="str">
        <f t="shared" si="12"/>
        <v>Old Age</v>
      </c>
      <c r="N811" t="s">
        <v>18</v>
      </c>
    </row>
    <row r="812" spans="1:14" x14ac:dyDescent="0.35">
      <c r="A812">
        <v>20376</v>
      </c>
      <c r="B812" t="s">
        <v>37</v>
      </c>
      <c r="C812" t="s">
        <v>38</v>
      </c>
      <c r="D812" s="5">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5">
        <v>60000</v>
      </c>
      <c r="E813">
        <v>0</v>
      </c>
      <c r="F813" t="s">
        <v>19</v>
      </c>
      <c r="G813" t="s">
        <v>14</v>
      </c>
      <c r="H813" t="s">
        <v>18</v>
      </c>
      <c r="I813">
        <v>2</v>
      </c>
      <c r="J813" t="s">
        <v>26</v>
      </c>
      <c r="K813" t="s">
        <v>32</v>
      </c>
      <c r="L813">
        <v>31</v>
      </c>
      <c r="M813" t="str">
        <f t="shared" si="12"/>
        <v>Adolescent</v>
      </c>
      <c r="N813" t="s">
        <v>18</v>
      </c>
    </row>
    <row r="814" spans="1:14" x14ac:dyDescent="0.35">
      <c r="A814">
        <v>15749</v>
      </c>
      <c r="B814" t="s">
        <v>37</v>
      </c>
      <c r="C814" t="s">
        <v>38</v>
      </c>
      <c r="D814" s="5">
        <v>70000</v>
      </c>
      <c r="E814">
        <v>4</v>
      </c>
      <c r="F814" t="s">
        <v>13</v>
      </c>
      <c r="G814" t="s">
        <v>28</v>
      </c>
      <c r="H814" t="s">
        <v>15</v>
      </c>
      <c r="I814">
        <v>2</v>
      </c>
      <c r="J814" t="s">
        <v>44</v>
      </c>
      <c r="K814" t="s">
        <v>32</v>
      </c>
      <c r="L814">
        <v>61</v>
      </c>
      <c r="M814" t="str">
        <f t="shared" si="12"/>
        <v>Old Age</v>
      </c>
      <c r="N814" t="s">
        <v>18</v>
      </c>
    </row>
    <row r="815" spans="1:14" x14ac:dyDescent="0.35">
      <c r="A815">
        <v>25899</v>
      </c>
      <c r="B815" t="s">
        <v>36</v>
      </c>
      <c r="C815" t="s">
        <v>38</v>
      </c>
      <c r="D815" s="5">
        <v>70000</v>
      </c>
      <c r="E815">
        <v>2</v>
      </c>
      <c r="F815" t="s">
        <v>27</v>
      </c>
      <c r="G815" t="s">
        <v>21</v>
      </c>
      <c r="H815" t="s">
        <v>15</v>
      </c>
      <c r="I815">
        <v>2</v>
      </c>
      <c r="J815" t="s">
        <v>44</v>
      </c>
      <c r="K815" t="s">
        <v>32</v>
      </c>
      <c r="L815">
        <v>53</v>
      </c>
      <c r="M815" t="str">
        <f t="shared" si="12"/>
        <v>Middle Age</v>
      </c>
      <c r="N815" t="s">
        <v>18</v>
      </c>
    </row>
    <row r="816" spans="1:14" x14ac:dyDescent="0.35">
      <c r="A816">
        <v>13351</v>
      </c>
      <c r="B816" t="s">
        <v>37</v>
      </c>
      <c r="C816" t="s">
        <v>38</v>
      </c>
      <c r="D816" s="5">
        <v>70000</v>
      </c>
      <c r="E816">
        <v>4</v>
      </c>
      <c r="F816" t="s">
        <v>13</v>
      </c>
      <c r="G816" t="s">
        <v>28</v>
      </c>
      <c r="H816" t="s">
        <v>15</v>
      </c>
      <c r="I816">
        <v>2</v>
      </c>
      <c r="J816" t="s">
        <v>26</v>
      </c>
      <c r="K816" t="s">
        <v>32</v>
      </c>
      <c r="L816">
        <v>62</v>
      </c>
      <c r="M816" t="str">
        <f t="shared" si="12"/>
        <v>Old Age</v>
      </c>
      <c r="N816" t="s">
        <v>15</v>
      </c>
    </row>
    <row r="817" spans="1:14" x14ac:dyDescent="0.35">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5">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5">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5">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5">
        <v>170000</v>
      </c>
      <c r="E831">
        <v>1</v>
      </c>
      <c r="F831" t="s">
        <v>31</v>
      </c>
      <c r="G831" t="s">
        <v>28</v>
      </c>
      <c r="H831" t="s">
        <v>18</v>
      </c>
      <c r="I831">
        <v>4</v>
      </c>
      <c r="J831" t="s">
        <v>16</v>
      </c>
      <c r="K831" t="s">
        <v>32</v>
      </c>
      <c r="L831">
        <v>66</v>
      </c>
      <c r="M831" t="str">
        <f t="shared" si="12"/>
        <v>Old Age</v>
      </c>
      <c r="N831" t="s">
        <v>18</v>
      </c>
    </row>
    <row r="832" spans="1:14" x14ac:dyDescent="0.35">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5">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5">
        <v>70000</v>
      </c>
      <c r="E835">
        <v>0</v>
      </c>
      <c r="F835" t="s">
        <v>13</v>
      </c>
      <c r="G835" t="s">
        <v>21</v>
      </c>
      <c r="H835" t="s">
        <v>18</v>
      </c>
      <c r="I835">
        <v>1</v>
      </c>
      <c r="J835" t="s">
        <v>16</v>
      </c>
      <c r="K835" t="s">
        <v>32</v>
      </c>
      <c r="L835">
        <v>37</v>
      </c>
      <c r="M835" t="str">
        <f t="shared" ref="M835:M898" si="13">IF(L835&lt;=31,"Adolescent", IF(L835&gt;=54, "Old Age","Middle Age"))</f>
        <v>Middle Age</v>
      </c>
      <c r="N835" t="s">
        <v>15</v>
      </c>
    </row>
    <row r="836" spans="1:14" x14ac:dyDescent="0.35">
      <c r="A836">
        <v>19889</v>
      </c>
      <c r="B836" t="s">
        <v>37</v>
      </c>
      <c r="C836" t="s">
        <v>38</v>
      </c>
      <c r="D836" s="5">
        <v>70000</v>
      </c>
      <c r="E836">
        <v>2</v>
      </c>
      <c r="F836" t="s">
        <v>29</v>
      </c>
      <c r="G836" t="s">
        <v>14</v>
      </c>
      <c r="H836" t="s">
        <v>18</v>
      </c>
      <c r="I836">
        <v>2</v>
      </c>
      <c r="J836" t="s">
        <v>22</v>
      </c>
      <c r="K836" t="s">
        <v>32</v>
      </c>
      <c r="L836">
        <v>54</v>
      </c>
      <c r="M836" t="str">
        <f t="shared" si="13"/>
        <v>Old Age</v>
      </c>
      <c r="N836" t="s">
        <v>15</v>
      </c>
    </row>
    <row r="837" spans="1:14" x14ac:dyDescent="0.35">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5">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5">
        <v>70000</v>
      </c>
      <c r="E842">
        <v>4</v>
      </c>
      <c r="F842" t="s">
        <v>19</v>
      </c>
      <c r="G842" t="s">
        <v>21</v>
      </c>
      <c r="H842" t="s">
        <v>15</v>
      </c>
      <c r="I842">
        <v>2</v>
      </c>
      <c r="J842" t="s">
        <v>44</v>
      </c>
      <c r="K842" t="s">
        <v>32</v>
      </c>
      <c r="L842">
        <v>53</v>
      </c>
      <c r="M842" t="str">
        <f t="shared" si="13"/>
        <v>Middle Age</v>
      </c>
      <c r="N842" t="s">
        <v>18</v>
      </c>
    </row>
    <row r="843" spans="1:14" x14ac:dyDescent="0.35">
      <c r="A843">
        <v>12056</v>
      </c>
      <c r="B843" t="s">
        <v>36</v>
      </c>
      <c r="C843" t="s">
        <v>39</v>
      </c>
      <c r="D843" s="5">
        <v>120000</v>
      </c>
      <c r="E843">
        <v>2</v>
      </c>
      <c r="F843" t="s">
        <v>31</v>
      </c>
      <c r="G843" t="s">
        <v>28</v>
      </c>
      <c r="H843" t="s">
        <v>15</v>
      </c>
      <c r="I843">
        <v>3</v>
      </c>
      <c r="J843" t="s">
        <v>23</v>
      </c>
      <c r="K843" t="s">
        <v>32</v>
      </c>
      <c r="L843">
        <v>64</v>
      </c>
      <c r="M843" t="str">
        <f t="shared" si="13"/>
        <v>Old Age</v>
      </c>
      <c r="N843" t="s">
        <v>18</v>
      </c>
    </row>
    <row r="844" spans="1:14" x14ac:dyDescent="0.35">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5">
        <v>40000</v>
      </c>
      <c r="E846">
        <v>5</v>
      </c>
      <c r="F846" t="s">
        <v>27</v>
      </c>
      <c r="G846" t="s">
        <v>21</v>
      </c>
      <c r="H846" t="s">
        <v>15</v>
      </c>
      <c r="I846">
        <v>2</v>
      </c>
      <c r="J846" t="s">
        <v>44</v>
      </c>
      <c r="K846" t="s">
        <v>32</v>
      </c>
      <c r="L846">
        <v>60</v>
      </c>
      <c r="M846" t="str">
        <f t="shared" si="13"/>
        <v>Old Age</v>
      </c>
      <c r="N846" t="s">
        <v>18</v>
      </c>
    </row>
    <row r="847" spans="1:14" x14ac:dyDescent="0.35">
      <c r="A847">
        <v>25343</v>
      </c>
      <c r="B847" t="s">
        <v>37</v>
      </c>
      <c r="C847" t="s">
        <v>38</v>
      </c>
      <c r="D847" s="5">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5">
        <v>70000</v>
      </c>
      <c r="E848">
        <v>4</v>
      </c>
      <c r="F848" t="s">
        <v>19</v>
      </c>
      <c r="G848" t="s">
        <v>21</v>
      </c>
      <c r="H848" t="s">
        <v>18</v>
      </c>
      <c r="I848">
        <v>1</v>
      </c>
      <c r="J848" t="s">
        <v>26</v>
      </c>
      <c r="K848" t="s">
        <v>32</v>
      </c>
      <c r="L848">
        <v>56</v>
      </c>
      <c r="M848" t="str">
        <f t="shared" si="13"/>
        <v>Old Age</v>
      </c>
      <c r="N848" t="s">
        <v>18</v>
      </c>
    </row>
    <row r="849" spans="1:14" x14ac:dyDescent="0.35">
      <c r="A849">
        <v>17482</v>
      </c>
      <c r="B849" t="s">
        <v>37</v>
      </c>
      <c r="C849" t="s">
        <v>38</v>
      </c>
      <c r="D849" s="5">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5">
        <v>40000</v>
      </c>
      <c r="E851">
        <v>5</v>
      </c>
      <c r="F851" t="s">
        <v>27</v>
      </c>
      <c r="G851" t="s">
        <v>21</v>
      </c>
      <c r="H851" t="s">
        <v>18</v>
      </c>
      <c r="I851">
        <v>2</v>
      </c>
      <c r="J851" t="s">
        <v>22</v>
      </c>
      <c r="K851" t="s">
        <v>32</v>
      </c>
      <c r="L851">
        <v>60</v>
      </c>
      <c r="M851" t="str">
        <f t="shared" si="13"/>
        <v>Old Age</v>
      </c>
      <c r="N851" t="s">
        <v>18</v>
      </c>
    </row>
    <row r="852" spans="1:14" x14ac:dyDescent="0.35">
      <c r="A852">
        <v>12205</v>
      </c>
      <c r="B852" t="s">
        <v>37</v>
      </c>
      <c r="C852" t="s">
        <v>38</v>
      </c>
      <c r="D852" s="5">
        <v>130000</v>
      </c>
      <c r="E852">
        <v>2</v>
      </c>
      <c r="F852" t="s">
        <v>13</v>
      </c>
      <c r="G852" t="s">
        <v>28</v>
      </c>
      <c r="H852" t="s">
        <v>18</v>
      </c>
      <c r="I852">
        <v>4</v>
      </c>
      <c r="J852" t="s">
        <v>16</v>
      </c>
      <c r="K852" t="s">
        <v>32</v>
      </c>
      <c r="L852">
        <v>67</v>
      </c>
      <c r="M852" t="str">
        <f t="shared" si="13"/>
        <v>Old Age</v>
      </c>
      <c r="N852" t="s">
        <v>18</v>
      </c>
    </row>
    <row r="853" spans="1:14" x14ac:dyDescent="0.35">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5">
        <v>30000</v>
      </c>
      <c r="E857">
        <v>0</v>
      </c>
      <c r="F857" t="s">
        <v>19</v>
      </c>
      <c r="G857" t="s">
        <v>14</v>
      </c>
      <c r="H857" t="s">
        <v>18</v>
      </c>
      <c r="I857">
        <v>1</v>
      </c>
      <c r="J857" t="s">
        <v>26</v>
      </c>
      <c r="K857" t="s">
        <v>32</v>
      </c>
      <c r="L857">
        <v>31</v>
      </c>
      <c r="M857" t="str">
        <f t="shared" si="13"/>
        <v>Adolescent</v>
      </c>
      <c r="N857" t="s">
        <v>18</v>
      </c>
    </row>
    <row r="858" spans="1:14" x14ac:dyDescent="0.35">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5">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5">
        <v>40000</v>
      </c>
      <c r="E866">
        <v>0</v>
      </c>
      <c r="F866" t="s">
        <v>27</v>
      </c>
      <c r="G866" t="s">
        <v>14</v>
      </c>
      <c r="H866" t="s">
        <v>15</v>
      </c>
      <c r="I866">
        <v>2</v>
      </c>
      <c r="J866" t="s">
        <v>23</v>
      </c>
      <c r="K866" t="s">
        <v>32</v>
      </c>
      <c r="L866">
        <v>31</v>
      </c>
      <c r="M866" t="str">
        <f t="shared" si="13"/>
        <v>Adolescent</v>
      </c>
      <c r="N866" t="s">
        <v>18</v>
      </c>
    </row>
    <row r="867" spans="1:14" x14ac:dyDescent="0.35">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5">
        <v>60000</v>
      </c>
      <c r="E868">
        <v>2</v>
      </c>
      <c r="F868" t="s">
        <v>27</v>
      </c>
      <c r="G868" t="s">
        <v>21</v>
      </c>
      <c r="H868" t="s">
        <v>15</v>
      </c>
      <c r="I868">
        <v>2</v>
      </c>
      <c r="J868" t="s">
        <v>44</v>
      </c>
      <c r="K868" t="s">
        <v>32</v>
      </c>
      <c r="L868">
        <v>55</v>
      </c>
      <c r="M868" t="str">
        <f t="shared" si="13"/>
        <v>Old Age</v>
      </c>
      <c r="N868" t="s">
        <v>18</v>
      </c>
    </row>
    <row r="869" spans="1:14" x14ac:dyDescent="0.35">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5">
        <v>30000</v>
      </c>
      <c r="E870">
        <v>5</v>
      </c>
      <c r="F870" t="s">
        <v>29</v>
      </c>
      <c r="G870" t="s">
        <v>14</v>
      </c>
      <c r="H870" t="s">
        <v>15</v>
      </c>
      <c r="I870">
        <v>3</v>
      </c>
      <c r="J870" t="s">
        <v>44</v>
      </c>
      <c r="K870" t="s">
        <v>32</v>
      </c>
      <c r="L870">
        <v>60</v>
      </c>
      <c r="M870" t="str">
        <f t="shared" si="13"/>
        <v>Old Age</v>
      </c>
      <c r="N870" t="s">
        <v>15</v>
      </c>
    </row>
    <row r="871" spans="1:14" x14ac:dyDescent="0.35">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5">
        <v>60000</v>
      </c>
      <c r="E873">
        <v>2</v>
      </c>
      <c r="F873" t="s">
        <v>27</v>
      </c>
      <c r="G873" t="s">
        <v>21</v>
      </c>
      <c r="H873" t="s">
        <v>15</v>
      </c>
      <c r="I873">
        <v>2</v>
      </c>
      <c r="J873" t="s">
        <v>44</v>
      </c>
      <c r="K873" t="s">
        <v>32</v>
      </c>
      <c r="L873">
        <v>55</v>
      </c>
      <c r="M873" t="str">
        <f t="shared" si="13"/>
        <v>Old Age</v>
      </c>
      <c r="N873" t="s">
        <v>18</v>
      </c>
    </row>
    <row r="874" spans="1:14" x14ac:dyDescent="0.35">
      <c r="A874">
        <v>22118</v>
      </c>
      <c r="B874" t="s">
        <v>37</v>
      </c>
      <c r="C874" t="s">
        <v>38</v>
      </c>
      <c r="D874" s="5">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5">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5">
        <v>70000</v>
      </c>
      <c r="E879">
        <v>5</v>
      </c>
      <c r="F879" t="s">
        <v>13</v>
      </c>
      <c r="G879" t="s">
        <v>28</v>
      </c>
      <c r="H879" t="s">
        <v>15</v>
      </c>
      <c r="I879">
        <v>2</v>
      </c>
      <c r="J879" t="s">
        <v>22</v>
      </c>
      <c r="K879" t="s">
        <v>32</v>
      </c>
      <c r="L879">
        <v>61</v>
      </c>
      <c r="M879" t="str">
        <f t="shared" si="13"/>
        <v>Old Age</v>
      </c>
      <c r="N879" t="s">
        <v>18</v>
      </c>
    </row>
    <row r="880" spans="1:14" x14ac:dyDescent="0.35">
      <c r="A880">
        <v>28278</v>
      </c>
      <c r="B880" t="s">
        <v>36</v>
      </c>
      <c r="C880" t="s">
        <v>39</v>
      </c>
      <c r="D880" s="5">
        <v>50000</v>
      </c>
      <c r="E880">
        <v>2</v>
      </c>
      <c r="F880" t="s">
        <v>31</v>
      </c>
      <c r="G880" t="s">
        <v>28</v>
      </c>
      <c r="H880" t="s">
        <v>15</v>
      </c>
      <c r="I880">
        <v>2</v>
      </c>
      <c r="J880" t="s">
        <v>23</v>
      </c>
      <c r="K880" t="s">
        <v>32</v>
      </c>
      <c r="L880">
        <v>71</v>
      </c>
      <c r="M880" t="str">
        <f t="shared" si="13"/>
        <v>Old Age</v>
      </c>
      <c r="N880" t="s">
        <v>18</v>
      </c>
    </row>
    <row r="881" spans="1:14" x14ac:dyDescent="0.35">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5">
        <v>80000</v>
      </c>
      <c r="E883">
        <v>4</v>
      </c>
      <c r="F883" t="s">
        <v>31</v>
      </c>
      <c r="G883" t="s">
        <v>28</v>
      </c>
      <c r="H883" t="s">
        <v>15</v>
      </c>
      <c r="I883">
        <v>2</v>
      </c>
      <c r="J883" t="s">
        <v>16</v>
      </c>
      <c r="K883" t="s">
        <v>32</v>
      </c>
      <c r="L883">
        <v>72</v>
      </c>
      <c r="M883" t="str">
        <f t="shared" si="13"/>
        <v>Old Age</v>
      </c>
      <c r="N883" t="s">
        <v>15</v>
      </c>
    </row>
    <row r="884" spans="1:14" x14ac:dyDescent="0.35">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5">
        <v>80000</v>
      </c>
      <c r="E886">
        <v>4</v>
      </c>
      <c r="F886" t="s">
        <v>31</v>
      </c>
      <c r="G886" t="s">
        <v>28</v>
      </c>
      <c r="H886" t="s">
        <v>15</v>
      </c>
      <c r="I886">
        <v>2</v>
      </c>
      <c r="J886" t="s">
        <v>23</v>
      </c>
      <c r="K886" t="s">
        <v>32</v>
      </c>
      <c r="L886">
        <v>68</v>
      </c>
      <c r="M886" t="str">
        <f t="shared" si="13"/>
        <v>Old Age</v>
      </c>
      <c r="N886" t="s">
        <v>18</v>
      </c>
    </row>
    <row r="887" spans="1:14" x14ac:dyDescent="0.35">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5">
        <v>100000</v>
      </c>
      <c r="E893">
        <v>1</v>
      </c>
      <c r="F893" t="s">
        <v>31</v>
      </c>
      <c r="G893" t="s">
        <v>28</v>
      </c>
      <c r="H893" t="s">
        <v>15</v>
      </c>
      <c r="I893">
        <v>3</v>
      </c>
      <c r="J893" t="s">
        <v>22</v>
      </c>
      <c r="K893" t="s">
        <v>32</v>
      </c>
      <c r="L893">
        <v>73</v>
      </c>
      <c r="M893" t="str">
        <f t="shared" si="13"/>
        <v>Old Age</v>
      </c>
      <c r="N893" t="s">
        <v>15</v>
      </c>
    </row>
    <row r="894" spans="1:14" x14ac:dyDescent="0.35">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5">
        <v>50000</v>
      </c>
      <c r="E897">
        <v>4</v>
      </c>
      <c r="F897" t="s">
        <v>13</v>
      </c>
      <c r="G897" t="s">
        <v>28</v>
      </c>
      <c r="H897" t="s">
        <v>15</v>
      </c>
      <c r="I897">
        <v>2</v>
      </c>
      <c r="J897" t="s">
        <v>26</v>
      </c>
      <c r="K897" t="s">
        <v>32</v>
      </c>
      <c r="L897">
        <v>64</v>
      </c>
      <c r="M897" t="str">
        <f t="shared" si="13"/>
        <v>Old Age</v>
      </c>
      <c r="N897" t="s">
        <v>15</v>
      </c>
    </row>
    <row r="898" spans="1:14" x14ac:dyDescent="0.35">
      <c r="A898">
        <v>21583</v>
      </c>
      <c r="B898" t="s">
        <v>36</v>
      </c>
      <c r="C898" t="s">
        <v>38</v>
      </c>
      <c r="D898" s="5">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5">
        <v>30000</v>
      </c>
      <c r="E899">
        <v>0</v>
      </c>
      <c r="F899" t="s">
        <v>29</v>
      </c>
      <c r="G899" t="s">
        <v>20</v>
      </c>
      <c r="H899" t="s">
        <v>18</v>
      </c>
      <c r="I899">
        <v>2</v>
      </c>
      <c r="J899" t="s">
        <v>16</v>
      </c>
      <c r="K899" t="s">
        <v>32</v>
      </c>
      <c r="L899">
        <v>28</v>
      </c>
      <c r="M899" t="str">
        <f t="shared" ref="M899:M962" si="14">IF(L899&lt;=31,"Adolescent", IF(L899&gt;=54, "Old Age","Middle Age"))</f>
        <v>Adolescent</v>
      </c>
      <c r="N899" t="s">
        <v>18</v>
      </c>
    </row>
    <row r="900" spans="1:14" x14ac:dyDescent="0.35">
      <c r="A900">
        <v>18066</v>
      </c>
      <c r="B900" t="s">
        <v>37</v>
      </c>
      <c r="C900" t="s">
        <v>39</v>
      </c>
      <c r="D900" s="5">
        <v>70000</v>
      </c>
      <c r="E900">
        <v>5</v>
      </c>
      <c r="F900" t="s">
        <v>13</v>
      </c>
      <c r="G900" t="s">
        <v>28</v>
      </c>
      <c r="H900" t="s">
        <v>15</v>
      </c>
      <c r="I900">
        <v>3</v>
      </c>
      <c r="J900" t="s">
        <v>44</v>
      </c>
      <c r="K900" t="s">
        <v>32</v>
      </c>
      <c r="L900">
        <v>60</v>
      </c>
      <c r="M900" t="str">
        <f t="shared" si="14"/>
        <v>Old Age</v>
      </c>
      <c r="N900" t="s">
        <v>15</v>
      </c>
    </row>
    <row r="901" spans="1:14" x14ac:dyDescent="0.35">
      <c r="A901">
        <v>28192</v>
      </c>
      <c r="B901" t="s">
        <v>36</v>
      </c>
      <c r="C901" t="s">
        <v>38</v>
      </c>
      <c r="D901" s="5">
        <v>70000</v>
      </c>
      <c r="E901">
        <v>5</v>
      </c>
      <c r="F901" t="s">
        <v>31</v>
      </c>
      <c r="G901" t="s">
        <v>21</v>
      </c>
      <c r="H901" t="s">
        <v>15</v>
      </c>
      <c r="I901">
        <v>3</v>
      </c>
      <c r="J901" t="s">
        <v>44</v>
      </c>
      <c r="K901" t="s">
        <v>32</v>
      </c>
      <c r="L901">
        <v>46</v>
      </c>
      <c r="M901" t="str">
        <f t="shared" si="14"/>
        <v>Middle Age</v>
      </c>
      <c r="N901" t="s">
        <v>18</v>
      </c>
    </row>
    <row r="902" spans="1:14" x14ac:dyDescent="0.35">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5">
        <v>90000</v>
      </c>
      <c r="E905">
        <v>4</v>
      </c>
      <c r="F905" t="s">
        <v>31</v>
      </c>
      <c r="G905" t="s">
        <v>28</v>
      </c>
      <c r="H905" t="s">
        <v>15</v>
      </c>
      <c r="I905">
        <v>1</v>
      </c>
      <c r="J905" t="s">
        <v>23</v>
      </c>
      <c r="K905" t="s">
        <v>32</v>
      </c>
      <c r="L905">
        <v>73</v>
      </c>
      <c r="M905" t="str">
        <f t="shared" si="14"/>
        <v>Old Age</v>
      </c>
      <c r="N905" t="s">
        <v>18</v>
      </c>
    </row>
    <row r="906" spans="1:14" x14ac:dyDescent="0.35">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5">
        <v>50000</v>
      </c>
      <c r="E909">
        <v>4</v>
      </c>
      <c r="F909" t="s">
        <v>13</v>
      </c>
      <c r="G909" t="s">
        <v>28</v>
      </c>
      <c r="H909" t="s">
        <v>15</v>
      </c>
      <c r="I909">
        <v>2</v>
      </c>
      <c r="J909" t="s">
        <v>44</v>
      </c>
      <c r="K909" t="s">
        <v>32</v>
      </c>
      <c r="L909">
        <v>63</v>
      </c>
      <c r="M909" t="str">
        <f t="shared" si="14"/>
        <v>Old Age</v>
      </c>
      <c r="N909" t="s">
        <v>18</v>
      </c>
    </row>
    <row r="910" spans="1:14" x14ac:dyDescent="0.35">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5">
        <v>80000</v>
      </c>
      <c r="E913">
        <v>5</v>
      </c>
      <c r="F913" t="s">
        <v>13</v>
      </c>
      <c r="G913" t="s">
        <v>28</v>
      </c>
      <c r="H913" t="s">
        <v>15</v>
      </c>
      <c r="I913">
        <v>2</v>
      </c>
      <c r="J913" t="s">
        <v>23</v>
      </c>
      <c r="K913" t="s">
        <v>32</v>
      </c>
      <c r="L913">
        <v>64</v>
      </c>
      <c r="M913" t="str">
        <f t="shared" si="14"/>
        <v>Old Age</v>
      </c>
      <c r="N913" t="s">
        <v>18</v>
      </c>
    </row>
    <row r="914" spans="1:14" x14ac:dyDescent="0.35">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5">
        <v>60000</v>
      </c>
      <c r="E917">
        <v>3</v>
      </c>
      <c r="F917" t="s">
        <v>31</v>
      </c>
      <c r="G917" t="s">
        <v>28</v>
      </c>
      <c r="H917" t="s">
        <v>15</v>
      </c>
      <c r="I917">
        <v>2</v>
      </c>
      <c r="J917" t="s">
        <v>44</v>
      </c>
      <c r="K917" t="s">
        <v>32</v>
      </c>
      <c r="L917">
        <v>64</v>
      </c>
      <c r="M917" t="str">
        <f t="shared" si="14"/>
        <v>Old Age</v>
      </c>
      <c r="N917" t="s">
        <v>18</v>
      </c>
    </row>
    <row r="918" spans="1:14" x14ac:dyDescent="0.35">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5">
        <v>40000</v>
      </c>
      <c r="E921">
        <v>4</v>
      </c>
      <c r="F921" t="s">
        <v>27</v>
      </c>
      <c r="G921" t="s">
        <v>21</v>
      </c>
      <c r="H921" t="s">
        <v>15</v>
      </c>
      <c r="I921">
        <v>2</v>
      </c>
      <c r="J921" t="s">
        <v>44</v>
      </c>
      <c r="K921" t="s">
        <v>32</v>
      </c>
      <c r="L921">
        <v>61</v>
      </c>
      <c r="M921" t="str">
        <f t="shared" si="14"/>
        <v>Old Age</v>
      </c>
      <c r="N921" t="s">
        <v>18</v>
      </c>
    </row>
    <row r="922" spans="1:14" x14ac:dyDescent="0.35">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5">
        <v>40000</v>
      </c>
      <c r="E924">
        <v>3</v>
      </c>
      <c r="F924" t="s">
        <v>19</v>
      </c>
      <c r="G924" t="s">
        <v>21</v>
      </c>
      <c r="H924" t="s">
        <v>18</v>
      </c>
      <c r="I924">
        <v>2</v>
      </c>
      <c r="J924" t="s">
        <v>26</v>
      </c>
      <c r="K924" t="s">
        <v>32</v>
      </c>
      <c r="L924">
        <v>54</v>
      </c>
      <c r="M924" t="str">
        <f t="shared" si="14"/>
        <v>Old Age</v>
      </c>
      <c r="N924" t="s">
        <v>15</v>
      </c>
    </row>
    <row r="925" spans="1:14" x14ac:dyDescent="0.35">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5">
        <v>40000</v>
      </c>
      <c r="E928">
        <v>2</v>
      </c>
      <c r="F928" t="s">
        <v>27</v>
      </c>
      <c r="G928" t="s">
        <v>21</v>
      </c>
      <c r="H928" t="s">
        <v>15</v>
      </c>
      <c r="I928">
        <v>2</v>
      </c>
      <c r="J928" t="s">
        <v>44</v>
      </c>
      <c r="K928" t="s">
        <v>32</v>
      </c>
      <c r="L928">
        <v>57</v>
      </c>
      <c r="M928" t="str">
        <f t="shared" si="14"/>
        <v>Old Age</v>
      </c>
      <c r="N928" t="s">
        <v>18</v>
      </c>
    </row>
    <row r="929" spans="1:14" x14ac:dyDescent="0.35">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5">
        <v>70000</v>
      </c>
      <c r="E932">
        <v>5</v>
      </c>
      <c r="F932" t="s">
        <v>31</v>
      </c>
      <c r="G932" t="s">
        <v>21</v>
      </c>
      <c r="H932" t="s">
        <v>18</v>
      </c>
      <c r="I932">
        <v>3</v>
      </c>
      <c r="J932" t="s">
        <v>44</v>
      </c>
      <c r="K932" t="s">
        <v>32</v>
      </c>
      <c r="L932">
        <v>47</v>
      </c>
      <c r="M932" t="str">
        <f t="shared" si="14"/>
        <v>Middle Age</v>
      </c>
      <c r="N932" t="s">
        <v>18</v>
      </c>
    </row>
    <row r="933" spans="1:14" x14ac:dyDescent="0.35">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5">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5">
        <v>60000</v>
      </c>
      <c r="E936">
        <v>2</v>
      </c>
      <c r="F936" t="s">
        <v>13</v>
      </c>
      <c r="G936" t="s">
        <v>28</v>
      </c>
      <c r="H936" t="s">
        <v>15</v>
      </c>
      <c r="I936">
        <v>0</v>
      </c>
      <c r="J936" t="s">
        <v>22</v>
      </c>
      <c r="K936" t="s">
        <v>32</v>
      </c>
      <c r="L936">
        <v>59</v>
      </c>
      <c r="M936" t="str">
        <f t="shared" si="14"/>
        <v>Old Age</v>
      </c>
      <c r="N936" t="s">
        <v>18</v>
      </c>
    </row>
    <row r="937" spans="1:14" x14ac:dyDescent="0.35">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5">
        <v>60000</v>
      </c>
      <c r="E938">
        <v>4</v>
      </c>
      <c r="F938" t="s">
        <v>13</v>
      </c>
      <c r="G938" t="s">
        <v>28</v>
      </c>
      <c r="H938" t="s">
        <v>15</v>
      </c>
      <c r="I938">
        <v>2</v>
      </c>
      <c r="J938" t="s">
        <v>22</v>
      </c>
      <c r="K938" t="s">
        <v>32</v>
      </c>
      <c r="L938">
        <v>60</v>
      </c>
      <c r="M938" t="str">
        <f t="shared" si="14"/>
        <v>Old Age</v>
      </c>
      <c r="N938" t="s">
        <v>18</v>
      </c>
    </row>
    <row r="939" spans="1:14" x14ac:dyDescent="0.35">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5">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5">
        <v>40000</v>
      </c>
      <c r="E944">
        <v>3</v>
      </c>
      <c r="F944" t="s">
        <v>19</v>
      </c>
      <c r="G944" t="s">
        <v>21</v>
      </c>
      <c r="H944" t="s">
        <v>15</v>
      </c>
      <c r="I944">
        <v>2</v>
      </c>
      <c r="J944" t="s">
        <v>23</v>
      </c>
      <c r="K944" t="s">
        <v>32</v>
      </c>
      <c r="L944">
        <v>54</v>
      </c>
      <c r="M944" t="str">
        <f t="shared" si="14"/>
        <v>Old Age</v>
      </c>
      <c r="N944" t="s">
        <v>18</v>
      </c>
    </row>
    <row r="945" spans="1:14" x14ac:dyDescent="0.35">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5">
        <v>90000</v>
      </c>
      <c r="E948">
        <v>5</v>
      </c>
      <c r="F948" t="s">
        <v>13</v>
      </c>
      <c r="G948" t="s">
        <v>28</v>
      </c>
      <c r="H948" t="s">
        <v>15</v>
      </c>
      <c r="I948">
        <v>2</v>
      </c>
      <c r="J948" t="s">
        <v>26</v>
      </c>
      <c r="K948" t="s">
        <v>32</v>
      </c>
      <c r="L948">
        <v>63</v>
      </c>
      <c r="M948" t="str">
        <f t="shared" si="14"/>
        <v>Old Age</v>
      </c>
      <c r="N948" t="s">
        <v>15</v>
      </c>
    </row>
    <row r="949" spans="1:14" x14ac:dyDescent="0.35">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5">
        <v>70000</v>
      </c>
      <c r="E951">
        <v>2</v>
      </c>
      <c r="F951" t="s">
        <v>29</v>
      </c>
      <c r="G951" t="s">
        <v>14</v>
      </c>
      <c r="H951" t="s">
        <v>15</v>
      </c>
      <c r="I951">
        <v>2</v>
      </c>
      <c r="J951" t="s">
        <v>44</v>
      </c>
      <c r="K951" t="s">
        <v>32</v>
      </c>
      <c r="L951">
        <v>53</v>
      </c>
      <c r="M951" t="str">
        <f t="shared" si="14"/>
        <v>Middle Age</v>
      </c>
      <c r="N951" t="s">
        <v>18</v>
      </c>
    </row>
    <row r="952" spans="1:14" x14ac:dyDescent="0.35">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5">
        <v>70000</v>
      </c>
      <c r="E954">
        <v>4</v>
      </c>
      <c r="F954" t="s">
        <v>13</v>
      </c>
      <c r="G954" t="s">
        <v>28</v>
      </c>
      <c r="H954" t="s">
        <v>18</v>
      </c>
      <c r="I954">
        <v>1</v>
      </c>
      <c r="J954" t="s">
        <v>26</v>
      </c>
      <c r="K954" t="s">
        <v>32</v>
      </c>
      <c r="L954">
        <v>59</v>
      </c>
      <c r="M954" t="str">
        <f t="shared" si="14"/>
        <v>Old Age</v>
      </c>
      <c r="N954" t="s">
        <v>18</v>
      </c>
    </row>
    <row r="955" spans="1:14" x14ac:dyDescent="0.35">
      <c r="A955">
        <v>17654</v>
      </c>
      <c r="B955" t="s">
        <v>37</v>
      </c>
      <c r="C955" t="s">
        <v>38</v>
      </c>
      <c r="D955" s="5">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5">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5">
        <v>120000</v>
      </c>
      <c r="E963">
        <v>2</v>
      </c>
      <c r="F963" t="s">
        <v>13</v>
      </c>
      <c r="G963" t="s">
        <v>28</v>
      </c>
      <c r="H963" t="s">
        <v>15</v>
      </c>
      <c r="I963">
        <v>3</v>
      </c>
      <c r="J963" t="s">
        <v>23</v>
      </c>
      <c r="K963" t="s">
        <v>32</v>
      </c>
      <c r="L963">
        <v>62</v>
      </c>
      <c r="M963" t="str">
        <f t="shared" ref="M963:M1001" si="15">IF(L963&lt;=31,"Adolescent", IF(L963&gt;=54, "Old Age","Middle Age"))</f>
        <v>Old Age</v>
      </c>
      <c r="N963" t="s">
        <v>18</v>
      </c>
    </row>
    <row r="964" spans="1:14" x14ac:dyDescent="0.35">
      <c r="A964">
        <v>16813</v>
      </c>
      <c r="B964" t="s">
        <v>36</v>
      </c>
      <c r="C964" t="s">
        <v>39</v>
      </c>
      <c r="D964" s="5">
        <v>60000</v>
      </c>
      <c r="E964">
        <v>2</v>
      </c>
      <c r="F964" t="s">
        <v>19</v>
      </c>
      <c r="G964" t="s">
        <v>21</v>
      </c>
      <c r="H964" t="s">
        <v>15</v>
      </c>
      <c r="I964">
        <v>2</v>
      </c>
      <c r="J964" t="s">
        <v>44</v>
      </c>
      <c r="K964" t="s">
        <v>32</v>
      </c>
      <c r="L964">
        <v>55</v>
      </c>
      <c r="M964" t="str">
        <f t="shared" si="15"/>
        <v>Old Age</v>
      </c>
      <c r="N964" t="s">
        <v>18</v>
      </c>
    </row>
    <row r="965" spans="1:14" x14ac:dyDescent="0.35">
      <c r="A965">
        <v>16007</v>
      </c>
      <c r="B965" t="s">
        <v>36</v>
      </c>
      <c r="C965" t="s">
        <v>38</v>
      </c>
      <c r="D965" s="5">
        <v>90000</v>
      </c>
      <c r="E965">
        <v>5</v>
      </c>
      <c r="F965" t="s">
        <v>13</v>
      </c>
      <c r="G965" t="s">
        <v>28</v>
      </c>
      <c r="H965" t="s">
        <v>15</v>
      </c>
      <c r="I965">
        <v>2</v>
      </c>
      <c r="J965" t="s">
        <v>26</v>
      </c>
      <c r="K965" t="s">
        <v>32</v>
      </c>
      <c r="L965">
        <v>66</v>
      </c>
      <c r="M965" t="str">
        <f t="shared" si="15"/>
        <v>Old Age</v>
      </c>
      <c r="N965" t="s">
        <v>15</v>
      </c>
    </row>
    <row r="966" spans="1:14" x14ac:dyDescent="0.35">
      <c r="A966">
        <v>27434</v>
      </c>
      <c r="B966" t="s">
        <v>37</v>
      </c>
      <c r="C966" t="s">
        <v>39</v>
      </c>
      <c r="D966" s="5">
        <v>70000</v>
      </c>
      <c r="E966">
        <v>4</v>
      </c>
      <c r="F966" t="s">
        <v>19</v>
      </c>
      <c r="G966" t="s">
        <v>21</v>
      </c>
      <c r="H966" t="s">
        <v>15</v>
      </c>
      <c r="I966">
        <v>1</v>
      </c>
      <c r="J966" t="s">
        <v>44</v>
      </c>
      <c r="K966" t="s">
        <v>32</v>
      </c>
      <c r="L966">
        <v>56</v>
      </c>
      <c r="M966" t="str">
        <f t="shared" si="15"/>
        <v>Old Age</v>
      </c>
      <c r="N966" t="s">
        <v>18</v>
      </c>
    </row>
    <row r="967" spans="1:14" x14ac:dyDescent="0.35">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5">
        <v>80000</v>
      </c>
      <c r="E969">
        <v>3</v>
      </c>
      <c r="F969" t="s">
        <v>13</v>
      </c>
      <c r="G969" t="s">
        <v>28</v>
      </c>
      <c r="H969" t="s">
        <v>15</v>
      </c>
      <c r="I969">
        <v>1</v>
      </c>
      <c r="J969" t="s">
        <v>26</v>
      </c>
      <c r="K969" t="s">
        <v>32</v>
      </c>
      <c r="L969">
        <v>56</v>
      </c>
      <c r="M969" t="str">
        <f t="shared" si="15"/>
        <v>Old Age</v>
      </c>
      <c r="N969" t="s">
        <v>18</v>
      </c>
    </row>
    <row r="970" spans="1:14" x14ac:dyDescent="0.35">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5">
        <v>60000</v>
      </c>
      <c r="E972">
        <v>0</v>
      </c>
      <c r="F972" t="s">
        <v>19</v>
      </c>
      <c r="G972" t="s">
        <v>14</v>
      </c>
      <c r="H972" t="s">
        <v>15</v>
      </c>
      <c r="I972">
        <v>2</v>
      </c>
      <c r="J972" t="s">
        <v>23</v>
      </c>
      <c r="K972" t="s">
        <v>32</v>
      </c>
      <c r="L972">
        <v>31</v>
      </c>
      <c r="M972" t="str">
        <f t="shared" si="15"/>
        <v>Adolescent</v>
      </c>
      <c r="N972" t="s">
        <v>18</v>
      </c>
    </row>
    <row r="973" spans="1:14" x14ac:dyDescent="0.35">
      <c r="A973">
        <v>12192</v>
      </c>
      <c r="B973" t="s">
        <v>37</v>
      </c>
      <c r="C973" t="s">
        <v>38</v>
      </c>
      <c r="D973" s="5">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5">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5">
        <v>60000</v>
      </c>
      <c r="E978">
        <v>3</v>
      </c>
      <c r="F978" t="s">
        <v>13</v>
      </c>
      <c r="G978" t="s">
        <v>28</v>
      </c>
      <c r="H978" t="s">
        <v>15</v>
      </c>
      <c r="I978">
        <v>2</v>
      </c>
      <c r="J978" t="s">
        <v>44</v>
      </c>
      <c r="K978" t="s">
        <v>32</v>
      </c>
      <c r="L978">
        <v>66</v>
      </c>
      <c r="M978" t="str">
        <f t="shared" si="15"/>
        <v>Old Age</v>
      </c>
      <c r="N978" t="s">
        <v>18</v>
      </c>
    </row>
    <row r="979" spans="1:14" x14ac:dyDescent="0.35">
      <c r="A979">
        <v>19741</v>
      </c>
      <c r="B979" t="s">
        <v>37</v>
      </c>
      <c r="C979" t="s">
        <v>38</v>
      </c>
      <c r="D979" s="5">
        <v>80000</v>
      </c>
      <c r="E979">
        <v>4</v>
      </c>
      <c r="F979" t="s">
        <v>31</v>
      </c>
      <c r="G979" t="s">
        <v>28</v>
      </c>
      <c r="H979" t="s">
        <v>15</v>
      </c>
      <c r="I979">
        <v>2</v>
      </c>
      <c r="J979" t="s">
        <v>23</v>
      </c>
      <c r="K979" t="s">
        <v>32</v>
      </c>
      <c r="L979">
        <v>65</v>
      </c>
      <c r="M979" t="str">
        <f t="shared" si="15"/>
        <v>Old Age</v>
      </c>
      <c r="N979" t="s">
        <v>18</v>
      </c>
    </row>
    <row r="980" spans="1:14" x14ac:dyDescent="0.35">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5">
        <v>40000</v>
      </c>
      <c r="E981">
        <v>0</v>
      </c>
      <c r="F981" t="s">
        <v>27</v>
      </c>
      <c r="G981" t="s">
        <v>14</v>
      </c>
      <c r="H981" t="s">
        <v>15</v>
      </c>
      <c r="I981">
        <v>1</v>
      </c>
      <c r="J981" t="s">
        <v>23</v>
      </c>
      <c r="K981" t="s">
        <v>32</v>
      </c>
      <c r="L981">
        <v>31</v>
      </c>
      <c r="M981" t="str">
        <f t="shared" si="15"/>
        <v>Adolescent</v>
      </c>
      <c r="N981" t="s">
        <v>18</v>
      </c>
    </row>
    <row r="982" spans="1:14" x14ac:dyDescent="0.35">
      <c r="A982">
        <v>18594</v>
      </c>
      <c r="B982" t="s">
        <v>37</v>
      </c>
      <c r="C982" t="s">
        <v>38</v>
      </c>
      <c r="D982" s="5">
        <v>80000</v>
      </c>
      <c r="E982">
        <v>3</v>
      </c>
      <c r="F982" t="s">
        <v>13</v>
      </c>
      <c r="G982" t="s">
        <v>14</v>
      </c>
      <c r="H982" t="s">
        <v>15</v>
      </c>
      <c r="I982">
        <v>3</v>
      </c>
      <c r="J982" t="s">
        <v>44</v>
      </c>
      <c r="K982" t="s">
        <v>32</v>
      </c>
      <c r="L982">
        <v>40</v>
      </c>
      <c r="M982" t="str">
        <f t="shared" si="15"/>
        <v>Middle Age</v>
      </c>
      <c r="N982" t="s">
        <v>15</v>
      </c>
    </row>
    <row r="983" spans="1:14" x14ac:dyDescent="0.35">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5">
        <v>40000</v>
      </c>
      <c r="E988">
        <v>5</v>
      </c>
      <c r="F988" t="s">
        <v>27</v>
      </c>
      <c r="G988" t="s">
        <v>21</v>
      </c>
      <c r="H988" t="s">
        <v>15</v>
      </c>
      <c r="I988">
        <v>4</v>
      </c>
      <c r="J988" t="s">
        <v>44</v>
      </c>
      <c r="K988" t="s">
        <v>32</v>
      </c>
      <c r="L988">
        <v>60</v>
      </c>
      <c r="M988" t="str">
        <f t="shared" si="15"/>
        <v>Old Age</v>
      </c>
      <c r="N988" t="s">
        <v>15</v>
      </c>
    </row>
    <row r="989" spans="1:14" x14ac:dyDescent="0.35">
      <c r="A989">
        <v>28972</v>
      </c>
      <c r="B989" t="s">
        <v>37</v>
      </c>
      <c r="C989" t="s">
        <v>38</v>
      </c>
      <c r="D989" s="5">
        <v>60000</v>
      </c>
      <c r="E989">
        <v>3</v>
      </c>
      <c r="F989" t="s">
        <v>31</v>
      </c>
      <c r="G989" t="s">
        <v>28</v>
      </c>
      <c r="H989" t="s">
        <v>15</v>
      </c>
      <c r="I989">
        <v>2</v>
      </c>
      <c r="J989" t="s">
        <v>44</v>
      </c>
      <c r="K989" t="s">
        <v>32</v>
      </c>
      <c r="L989">
        <v>66</v>
      </c>
      <c r="M989" t="str">
        <f t="shared" si="15"/>
        <v>Old Age</v>
      </c>
      <c r="N989" t="s">
        <v>18</v>
      </c>
    </row>
    <row r="990" spans="1:14" x14ac:dyDescent="0.35">
      <c r="A990">
        <v>22730</v>
      </c>
      <c r="B990" t="s">
        <v>36</v>
      </c>
      <c r="C990" t="s">
        <v>39</v>
      </c>
      <c r="D990" s="5">
        <v>70000</v>
      </c>
      <c r="E990">
        <v>5</v>
      </c>
      <c r="F990" t="s">
        <v>13</v>
      </c>
      <c r="G990" t="s">
        <v>28</v>
      </c>
      <c r="H990" t="s">
        <v>15</v>
      </c>
      <c r="I990">
        <v>2</v>
      </c>
      <c r="J990" t="s">
        <v>44</v>
      </c>
      <c r="K990" t="s">
        <v>32</v>
      </c>
      <c r="L990">
        <v>63</v>
      </c>
      <c r="M990" t="str">
        <f t="shared" si="15"/>
        <v>Old Age</v>
      </c>
      <c r="N990" t="s">
        <v>18</v>
      </c>
    </row>
    <row r="991" spans="1:14" x14ac:dyDescent="0.35">
      <c r="A991">
        <v>29134</v>
      </c>
      <c r="B991" t="s">
        <v>36</v>
      </c>
      <c r="C991" t="s">
        <v>39</v>
      </c>
      <c r="D991" s="5">
        <v>60000</v>
      </c>
      <c r="E991">
        <v>4</v>
      </c>
      <c r="F991" t="s">
        <v>13</v>
      </c>
      <c r="G991" t="s">
        <v>14</v>
      </c>
      <c r="H991" t="s">
        <v>18</v>
      </c>
      <c r="I991">
        <v>3</v>
      </c>
      <c r="J991" t="s">
        <v>44</v>
      </c>
      <c r="K991" t="s">
        <v>32</v>
      </c>
      <c r="L991">
        <v>42</v>
      </c>
      <c r="M991" t="str">
        <f t="shared" si="15"/>
        <v>Middle Age</v>
      </c>
      <c r="N991" t="s">
        <v>18</v>
      </c>
    </row>
    <row r="992" spans="1:14" x14ac:dyDescent="0.35">
      <c r="A992">
        <v>14332</v>
      </c>
      <c r="B992" t="s">
        <v>37</v>
      </c>
      <c r="C992" t="s">
        <v>38</v>
      </c>
      <c r="D992" s="5">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5">
        <v>60000</v>
      </c>
      <c r="E997" s="2">
        <v>2</v>
      </c>
      <c r="F997" t="s">
        <v>27</v>
      </c>
      <c r="G997" t="s">
        <v>21</v>
      </c>
      <c r="H997" t="s">
        <v>15</v>
      </c>
      <c r="I997">
        <v>2</v>
      </c>
      <c r="J997" t="s">
        <v>22</v>
      </c>
      <c r="K997" t="s">
        <v>32</v>
      </c>
      <c r="L997">
        <v>54</v>
      </c>
      <c r="M997" t="str">
        <f t="shared" si="15"/>
        <v>Old Age</v>
      </c>
      <c r="N997" t="s">
        <v>15</v>
      </c>
    </row>
    <row r="998" spans="1:14" x14ac:dyDescent="0.35">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5">
        <v>60000</v>
      </c>
      <c r="E1001">
        <v>3</v>
      </c>
      <c r="F1001" t="s">
        <v>27</v>
      </c>
      <c r="G1001" t="s">
        <v>21</v>
      </c>
      <c r="H1001" t="s">
        <v>15</v>
      </c>
      <c r="I1001">
        <v>2</v>
      </c>
      <c r="J1001" t="s">
        <v>44</v>
      </c>
      <c r="K1001" t="s">
        <v>32</v>
      </c>
      <c r="L1001">
        <v>53</v>
      </c>
      <c r="M1001" t="str">
        <f t="shared" si="15"/>
        <v>Middle Age</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0"/>
  <sheetViews>
    <sheetView workbookViewId="0">
      <selection activeCell="D3" sqref="D3"/>
    </sheetView>
  </sheetViews>
  <sheetFormatPr defaultRowHeight="14.5" x14ac:dyDescent="0.35"/>
  <cols>
    <col min="2" max="2" width="14.6328125" customWidth="1"/>
    <col min="3" max="4" width="9" customWidth="1"/>
    <col min="5" max="5" width="9.81640625" customWidth="1"/>
    <col min="6" max="6" width="11.1796875" customWidth="1"/>
    <col min="7" max="7" width="12.36328125" customWidth="1"/>
    <col min="8" max="8" width="13.90625" customWidth="1"/>
    <col min="10" max="10" width="18.7265625" customWidth="1"/>
    <col min="13" max="13" width="12" customWidth="1"/>
    <col min="14" max="14" width="15.54296875" customWidth="1"/>
  </cols>
  <sheetData>
    <row r="1" spans="1:14" x14ac:dyDescent="0.35">
      <c r="A1" t="s">
        <v>0</v>
      </c>
      <c r="B1" t="s">
        <v>40</v>
      </c>
      <c r="C1" t="s">
        <v>2</v>
      </c>
      <c r="D1" t="s">
        <v>3</v>
      </c>
      <c r="E1" t="s">
        <v>4</v>
      </c>
      <c r="F1" t="s">
        <v>5</v>
      </c>
      <c r="G1" t="s">
        <v>6</v>
      </c>
      <c r="H1" t="s">
        <v>7</v>
      </c>
      <c r="I1" t="s">
        <v>8</v>
      </c>
      <c r="J1" t="s">
        <v>9</v>
      </c>
      <c r="K1" t="s">
        <v>10</v>
      </c>
      <c r="L1" t="s">
        <v>11</v>
      </c>
      <c r="M1" t="s">
        <v>50</v>
      </c>
      <c r="N1" t="s">
        <v>12</v>
      </c>
    </row>
    <row r="2" spans="1:14" x14ac:dyDescent="0.35">
      <c r="A2">
        <v>19117</v>
      </c>
      <c r="B2" t="s">
        <v>37</v>
      </c>
      <c r="C2" t="s">
        <v>38</v>
      </c>
      <c r="D2">
        <v>60000</v>
      </c>
      <c r="E2">
        <v>1</v>
      </c>
      <c r="F2" t="s">
        <v>31</v>
      </c>
      <c r="G2" t="s">
        <v>21</v>
      </c>
      <c r="H2" t="s">
        <v>15</v>
      </c>
      <c r="I2">
        <v>0</v>
      </c>
      <c r="J2" t="s">
        <v>22</v>
      </c>
      <c r="K2" t="s">
        <v>32</v>
      </c>
      <c r="L2">
        <v>36</v>
      </c>
      <c r="M2" t="s">
        <v>47</v>
      </c>
      <c r="N2" t="s">
        <v>15</v>
      </c>
    </row>
    <row r="3" spans="1:14" x14ac:dyDescent="0.35">
      <c r="A3">
        <v>18594</v>
      </c>
      <c r="B3" t="s">
        <v>37</v>
      </c>
      <c r="C3" t="s">
        <v>38</v>
      </c>
      <c r="D3">
        <v>80000</v>
      </c>
      <c r="E3">
        <v>3</v>
      </c>
      <c r="F3" t="s">
        <v>13</v>
      </c>
      <c r="G3" t="s">
        <v>14</v>
      </c>
      <c r="H3" t="s">
        <v>15</v>
      </c>
      <c r="I3">
        <v>3</v>
      </c>
      <c r="J3" t="s">
        <v>44</v>
      </c>
      <c r="K3" t="s">
        <v>32</v>
      </c>
      <c r="L3">
        <v>40</v>
      </c>
      <c r="M3" t="s">
        <v>47</v>
      </c>
      <c r="N3" t="s">
        <v>15</v>
      </c>
    </row>
    <row r="4" spans="1:14" x14ac:dyDescent="0.35">
      <c r="A4">
        <v>23818</v>
      </c>
      <c r="B4" t="s">
        <v>36</v>
      </c>
      <c r="C4" t="s">
        <v>38</v>
      </c>
      <c r="D4">
        <v>50000</v>
      </c>
      <c r="E4">
        <v>0</v>
      </c>
      <c r="F4" t="s">
        <v>31</v>
      </c>
      <c r="G4" t="s">
        <v>14</v>
      </c>
      <c r="H4" t="s">
        <v>15</v>
      </c>
      <c r="I4">
        <v>0</v>
      </c>
      <c r="J4" t="s">
        <v>26</v>
      </c>
      <c r="K4" t="s">
        <v>32</v>
      </c>
      <c r="L4">
        <v>33</v>
      </c>
      <c r="M4" t="s">
        <v>47</v>
      </c>
      <c r="N4" t="s">
        <v>15</v>
      </c>
    </row>
    <row r="5" spans="1:14" x14ac:dyDescent="0.35">
      <c r="A5">
        <v>16007</v>
      </c>
      <c r="B5" t="s">
        <v>36</v>
      </c>
      <c r="C5" t="s">
        <v>38</v>
      </c>
      <c r="D5">
        <v>90000</v>
      </c>
      <c r="E5">
        <v>5</v>
      </c>
      <c r="F5" t="s">
        <v>13</v>
      </c>
      <c r="G5" t="s">
        <v>28</v>
      </c>
      <c r="H5" t="s">
        <v>15</v>
      </c>
      <c r="I5">
        <v>2</v>
      </c>
      <c r="J5" t="s">
        <v>26</v>
      </c>
      <c r="K5" t="s">
        <v>32</v>
      </c>
      <c r="L5">
        <v>66</v>
      </c>
      <c r="M5" t="s">
        <v>48</v>
      </c>
      <c r="N5" t="s">
        <v>15</v>
      </c>
    </row>
    <row r="6" spans="1:14" x14ac:dyDescent="0.35">
      <c r="A6">
        <v>13886</v>
      </c>
      <c r="B6" t="s">
        <v>36</v>
      </c>
      <c r="C6" t="s">
        <v>38</v>
      </c>
      <c r="D6">
        <v>70000</v>
      </c>
      <c r="E6">
        <v>4</v>
      </c>
      <c r="F6" t="s">
        <v>31</v>
      </c>
      <c r="G6" t="s">
        <v>21</v>
      </c>
      <c r="H6" t="s">
        <v>15</v>
      </c>
      <c r="I6">
        <v>0</v>
      </c>
      <c r="J6" t="s">
        <v>22</v>
      </c>
      <c r="K6" t="s">
        <v>32</v>
      </c>
      <c r="L6">
        <v>35</v>
      </c>
      <c r="M6" t="s">
        <v>47</v>
      </c>
      <c r="N6" t="s">
        <v>15</v>
      </c>
    </row>
    <row r="7" spans="1:14" x14ac:dyDescent="0.35">
      <c r="A7">
        <v>17654</v>
      </c>
      <c r="B7" t="s">
        <v>37</v>
      </c>
      <c r="C7" t="s">
        <v>38</v>
      </c>
      <c r="D7">
        <v>40000</v>
      </c>
      <c r="E7">
        <v>3</v>
      </c>
      <c r="F7" t="s">
        <v>19</v>
      </c>
      <c r="G7" t="s">
        <v>20</v>
      </c>
      <c r="H7" t="s">
        <v>15</v>
      </c>
      <c r="I7">
        <v>1</v>
      </c>
      <c r="J7" t="s">
        <v>26</v>
      </c>
      <c r="K7" t="s">
        <v>32</v>
      </c>
      <c r="L7">
        <v>30</v>
      </c>
      <c r="M7" t="s">
        <v>46</v>
      </c>
      <c r="N7" t="s">
        <v>15</v>
      </c>
    </row>
    <row r="8" spans="1:14" x14ac:dyDescent="0.35">
      <c r="A8">
        <v>11303</v>
      </c>
      <c r="B8" t="s">
        <v>37</v>
      </c>
      <c r="C8" t="s">
        <v>38</v>
      </c>
      <c r="D8">
        <v>90000</v>
      </c>
      <c r="E8">
        <v>4</v>
      </c>
      <c r="F8" t="s">
        <v>27</v>
      </c>
      <c r="G8" t="s">
        <v>21</v>
      </c>
      <c r="H8" t="s">
        <v>18</v>
      </c>
      <c r="I8">
        <v>3</v>
      </c>
      <c r="J8" t="s">
        <v>26</v>
      </c>
      <c r="K8" t="s">
        <v>32</v>
      </c>
      <c r="L8">
        <v>45</v>
      </c>
      <c r="M8" t="s">
        <v>47</v>
      </c>
      <c r="N8" t="s">
        <v>15</v>
      </c>
    </row>
    <row r="9" spans="1:14" x14ac:dyDescent="0.35">
      <c r="A9">
        <v>13343</v>
      </c>
      <c r="B9" t="s">
        <v>36</v>
      </c>
      <c r="C9" t="s">
        <v>38</v>
      </c>
      <c r="D9">
        <v>90000</v>
      </c>
      <c r="E9">
        <v>5</v>
      </c>
      <c r="F9" t="s">
        <v>13</v>
      </c>
      <c r="G9" t="s">
        <v>28</v>
      </c>
      <c r="H9" t="s">
        <v>15</v>
      </c>
      <c r="I9">
        <v>2</v>
      </c>
      <c r="J9" t="s">
        <v>26</v>
      </c>
      <c r="K9" t="s">
        <v>32</v>
      </c>
      <c r="L9">
        <v>63</v>
      </c>
      <c r="M9" t="s">
        <v>48</v>
      </c>
      <c r="N9" t="s">
        <v>15</v>
      </c>
    </row>
    <row r="10" spans="1:14" x14ac:dyDescent="0.35">
      <c r="A10">
        <v>26298</v>
      </c>
      <c r="B10" t="s">
        <v>36</v>
      </c>
      <c r="C10" t="s">
        <v>38</v>
      </c>
      <c r="D10">
        <v>50000</v>
      </c>
      <c r="E10">
        <v>1</v>
      </c>
      <c r="F10" t="s">
        <v>13</v>
      </c>
      <c r="G10" t="s">
        <v>14</v>
      </c>
      <c r="H10" t="s">
        <v>15</v>
      </c>
      <c r="I10">
        <v>0</v>
      </c>
      <c r="J10" t="s">
        <v>22</v>
      </c>
      <c r="K10" t="s">
        <v>32</v>
      </c>
      <c r="L10">
        <v>34</v>
      </c>
      <c r="M10" t="s">
        <v>47</v>
      </c>
      <c r="N10" t="s">
        <v>15</v>
      </c>
    </row>
    <row r="11" spans="1:14" x14ac:dyDescent="0.35">
      <c r="A11">
        <v>21587</v>
      </c>
      <c r="B11" t="s">
        <v>36</v>
      </c>
      <c r="C11" t="s">
        <v>38</v>
      </c>
      <c r="D11">
        <v>60000</v>
      </c>
      <c r="E11">
        <v>1</v>
      </c>
      <c r="F11" t="s">
        <v>31</v>
      </c>
      <c r="G11" t="s">
        <v>14</v>
      </c>
      <c r="H11" t="s">
        <v>15</v>
      </c>
      <c r="I11">
        <v>0</v>
      </c>
      <c r="J11" t="s">
        <v>22</v>
      </c>
      <c r="K11" t="s">
        <v>32</v>
      </c>
      <c r="L11">
        <v>34</v>
      </c>
      <c r="M11" t="s">
        <v>47</v>
      </c>
      <c r="N11" t="s">
        <v>15</v>
      </c>
    </row>
    <row r="12" spans="1:14" x14ac:dyDescent="0.35">
      <c r="A12">
        <v>22173</v>
      </c>
      <c r="B12" t="s">
        <v>36</v>
      </c>
      <c r="C12" t="s">
        <v>38</v>
      </c>
      <c r="D12">
        <v>30000</v>
      </c>
      <c r="E12">
        <v>3</v>
      </c>
      <c r="F12" t="s">
        <v>27</v>
      </c>
      <c r="G12" t="s">
        <v>14</v>
      </c>
      <c r="H12" t="s">
        <v>18</v>
      </c>
      <c r="I12">
        <v>2</v>
      </c>
      <c r="J12" t="s">
        <v>26</v>
      </c>
      <c r="K12" t="s">
        <v>24</v>
      </c>
      <c r="L12">
        <v>54</v>
      </c>
      <c r="M12" t="s">
        <v>48</v>
      </c>
      <c r="N12" t="s">
        <v>15</v>
      </c>
    </row>
    <row r="13" spans="1:14" x14ac:dyDescent="0.35">
      <c r="A13">
        <v>18050</v>
      </c>
      <c r="B13" t="s">
        <v>36</v>
      </c>
      <c r="C13" t="s">
        <v>38</v>
      </c>
      <c r="D13">
        <v>60000</v>
      </c>
      <c r="E13">
        <v>1</v>
      </c>
      <c r="F13" t="s">
        <v>19</v>
      </c>
      <c r="G13" t="s">
        <v>14</v>
      </c>
      <c r="H13" t="s">
        <v>15</v>
      </c>
      <c r="I13">
        <v>1</v>
      </c>
      <c r="J13" t="s">
        <v>16</v>
      </c>
      <c r="K13" t="s">
        <v>32</v>
      </c>
      <c r="L13">
        <v>45</v>
      </c>
      <c r="M13" t="s">
        <v>47</v>
      </c>
      <c r="N13" t="s">
        <v>15</v>
      </c>
    </row>
    <row r="14" spans="1:14" x14ac:dyDescent="0.35">
      <c r="A14">
        <v>12033</v>
      </c>
      <c r="B14" t="s">
        <v>37</v>
      </c>
      <c r="C14" t="s">
        <v>38</v>
      </c>
      <c r="D14">
        <v>40000</v>
      </c>
      <c r="E14">
        <v>0</v>
      </c>
      <c r="F14" t="s">
        <v>27</v>
      </c>
      <c r="G14" t="s">
        <v>14</v>
      </c>
      <c r="H14" t="s">
        <v>18</v>
      </c>
      <c r="I14">
        <v>2</v>
      </c>
      <c r="J14" t="s">
        <v>16</v>
      </c>
      <c r="K14" t="s">
        <v>32</v>
      </c>
      <c r="L14">
        <v>27</v>
      </c>
      <c r="M14" t="s">
        <v>46</v>
      </c>
      <c r="N14" t="s">
        <v>15</v>
      </c>
    </row>
    <row r="15" spans="1:14" x14ac:dyDescent="0.35">
      <c r="A15">
        <v>14914</v>
      </c>
      <c r="B15" t="s">
        <v>36</v>
      </c>
      <c r="C15" t="s">
        <v>38</v>
      </c>
      <c r="D15">
        <v>40000</v>
      </c>
      <c r="E15">
        <v>1</v>
      </c>
      <c r="F15" t="s">
        <v>19</v>
      </c>
      <c r="G15" t="s">
        <v>20</v>
      </c>
      <c r="H15" t="s">
        <v>15</v>
      </c>
      <c r="I15">
        <v>1</v>
      </c>
      <c r="J15" t="s">
        <v>26</v>
      </c>
      <c r="K15" t="s">
        <v>32</v>
      </c>
      <c r="L15">
        <v>49</v>
      </c>
      <c r="M15" t="s">
        <v>47</v>
      </c>
      <c r="N15" t="s">
        <v>15</v>
      </c>
    </row>
    <row r="16" spans="1:14" x14ac:dyDescent="0.35">
      <c r="A16">
        <v>15862</v>
      </c>
      <c r="B16" t="s">
        <v>37</v>
      </c>
      <c r="C16" t="s">
        <v>38</v>
      </c>
      <c r="D16">
        <v>50000</v>
      </c>
      <c r="E16">
        <v>0</v>
      </c>
      <c r="F16" t="s">
        <v>31</v>
      </c>
      <c r="G16" t="s">
        <v>14</v>
      </c>
      <c r="H16" t="s">
        <v>15</v>
      </c>
      <c r="I16">
        <v>0</v>
      </c>
      <c r="J16" t="s">
        <v>26</v>
      </c>
      <c r="K16" t="s">
        <v>32</v>
      </c>
      <c r="L16">
        <v>33</v>
      </c>
      <c r="M16" t="s">
        <v>47</v>
      </c>
      <c r="N16" t="s">
        <v>15</v>
      </c>
    </row>
    <row r="17" spans="1:14" x14ac:dyDescent="0.35">
      <c r="A17">
        <v>20870</v>
      </c>
      <c r="B17" t="s">
        <v>37</v>
      </c>
      <c r="C17" t="s">
        <v>38</v>
      </c>
      <c r="D17">
        <v>10000</v>
      </c>
      <c r="E17">
        <v>2</v>
      </c>
      <c r="F17" t="s">
        <v>27</v>
      </c>
      <c r="G17" t="s">
        <v>25</v>
      </c>
      <c r="H17" t="s">
        <v>15</v>
      </c>
      <c r="I17">
        <v>1</v>
      </c>
      <c r="J17" t="s">
        <v>16</v>
      </c>
      <c r="K17" t="s">
        <v>17</v>
      </c>
      <c r="L17">
        <v>38</v>
      </c>
      <c r="M17" t="s">
        <v>47</v>
      </c>
      <c r="N17" t="s">
        <v>15</v>
      </c>
    </row>
    <row r="18" spans="1:14" x14ac:dyDescent="0.35">
      <c r="A18">
        <v>16895</v>
      </c>
      <c r="B18" t="s">
        <v>36</v>
      </c>
      <c r="C18" t="s">
        <v>38</v>
      </c>
      <c r="D18">
        <v>40000</v>
      </c>
      <c r="E18">
        <v>3</v>
      </c>
      <c r="F18" t="s">
        <v>19</v>
      </c>
      <c r="G18" t="s">
        <v>21</v>
      </c>
      <c r="H18" t="s">
        <v>18</v>
      </c>
      <c r="I18">
        <v>2</v>
      </c>
      <c r="J18" t="s">
        <v>26</v>
      </c>
      <c r="K18" t="s">
        <v>32</v>
      </c>
      <c r="L18">
        <v>54</v>
      </c>
      <c r="M18" t="s">
        <v>48</v>
      </c>
      <c r="N18" t="s">
        <v>15</v>
      </c>
    </row>
    <row r="19" spans="1:14" x14ac:dyDescent="0.35">
      <c r="A19">
        <v>12153</v>
      </c>
      <c r="B19" t="s">
        <v>37</v>
      </c>
      <c r="C19" t="s">
        <v>38</v>
      </c>
      <c r="D19">
        <v>70000</v>
      </c>
      <c r="E19">
        <v>3</v>
      </c>
      <c r="F19" t="s">
        <v>19</v>
      </c>
      <c r="G19" t="s">
        <v>21</v>
      </c>
      <c r="H19" t="s">
        <v>15</v>
      </c>
      <c r="I19">
        <v>1</v>
      </c>
      <c r="J19" t="s">
        <v>23</v>
      </c>
      <c r="K19" t="s">
        <v>32</v>
      </c>
      <c r="L19">
        <v>49</v>
      </c>
      <c r="M19" t="s">
        <v>47</v>
      </c>
      <c r="N19" t="s">
        <v>15</v>
      </c>
    </row>
    <row r="20" spans="1:14" x14ac:dyDescent="0.35">
      <c r="A20">
        <v>22042</v>
      </c>
      <c r="B20" t="s">
        <v>36</v>
      </c>
      <c r="C20" t="s">
        <v>38</v>
      </c>
      <c r="D20">
        <v>70000</v>
      </c>
      <c r="E20">
        <v>0</v>
      </c>
      <c r="F20" t="s">
        <v>19</v>
      </c>
      <c r="G20" t="s">
        <v>14</v>
      </c>
      <c r="H20" t="s">
        <v>15</v>
      </c>
      <c r="I20">
        <v>2</v>
      </c>
      <c r="J20" t="s">
        <v>23</v>
      </c>
      <c r="K20" t="s">
        <v>32</v>
      </c>
      <c r="L20">
        <v>34</v>
      </c>
      <c r="M20" t="s">
        <v>47</v>
      </c>
      <c r="N20" t="s">
        <v>15</v>
      </c>
    </row>
    <row r="21" spans="1:14" x14ac:dyDescent="0.35">
      <c r="A21">
        <v>26305</v>
      </c>
      <c r="B21" t="s">
        <v>37</v>
      </c>
      <c r="C21" t="s">
        <v>38</v>
      </c>
      <c r="D21">
        <v>60000</v>
      </c>
      <c r="E21">
        <v>2</v>
      </c>
      <c r="F21" t="s">
        <v>13</v>
      </c>
      <c r="G21" t="s">
        <v>14</v>
      </c>
      <c r="H21" t="s">
        <v>18</v>
      </c>
      <c r="I21">
        <v>0</v>
      </c>
      <c r="J21" t="s">
        <v>16</v>
      </c>
      <c r="K21" t="s">
        <v>32</v>
      </c>
      <c r="L21">
        <v>36</v>
      </c>
      <c r="M21" t="s">
        <v>47</v>
      </c>
      <c r="N21" t="s">
        <v>15</v>
      </c>
    </row>
    <row r="22" spans="1:14" x14ac:dyDescent="0.35">
      <c r="A22">
        <v>25598</v>
      </c>
      <c r="B22" t="s">
        <v>36</v>
      </c>
      <c r="C22" t="s">
        <v>38</v>
      </c>
      <c r="D22">
        <v>40000</v>
      </c>
      <c r="E22">
        <v>0</v>
      </c>
      <c r="F22" t="s">
        <v>31</v>
      </c>
      <c r="G22" t="s">
        <v>20</v>
      </c>
      <c r="H22" t="s">
        <v>15</v>
      </c>
      <c r="I22">
        <v>0</v>
      </c>
      <c r="J22" t="s">
        <v>16</v>
      </c>
      <c r="K22" t="s">
        <v>17</v>
      </c>
      <c r="L22">
        <v>36</v>
      </c>
      <c r="M22" t="s">
        <v>47</v>
      </c>
      <c r="N22" t="s">
        <v>15</v>
      </c>
    </row>
    <row r="23" spans="1:14" x14ac:dyDescent="0.35">
      <c r="A23">
        <v>18607</v>
      </c>
      <c r="B23" t="s">
        <v>37</v>
      </c>
      <c r="C23" t="s">
        <v>38</v>
      </c>
      <c r="D23">
        <v>60000</v>
      </c>
      <c r="E23">
        <v>4</v>
      </c>
      <c r="F23" t="s">
        <v>13</v>
      </c>
      <c r="G23" t="s">
        <v>14</v>
      </c>
      <c r="H23" t="s">
        <v>15</v>
      </c>
      <c r="I23">
        <v>2</v>
      </c>
      <c r="J23" t="s">
        <v>22</v>
      </c>
      <c r="K23" t="s">
        <v>32</v>
      </c>
      <c r="L23">
        <v>42</v>
      </c>
      <c r="M23" t="s">
        <v>47</v>
      </c>
      <c r="N23" t="s">
        <v>15</v>
      </c>
    </row>
    <row r="24" spans="1:14" x14ac:dyDescent="0.35">
      <c r="A24">
        <v>21583</v>
      </c>
      <c r="B24" t="s">
        <v>36</v>
      </c>
      <c r="C24" t="s">
        <v>38</v>
      </c>
      <c r="D24">
        <v>50000</v>
      </c>
      <c r="E24">
        <v>1</v>
      </c>
      <c r="F24" t="s">
        <v>13</v>
      </c>
      <c r="G24" t="s">
        <v>14</v>
      </c>
      <c r="H24" t="s">
        <v>15</v>
      </c>
      <c r="I24">
        <v>0</v>
      </c>
      <c r="J24" t="s">
        <v>16</v>
      </c>
      <c r="K24" t="s">
        <v>32</v>
      </c>
      <c r="L24">
        <v>34</v>
      </c>
      <c r="M24" t="s">
        <v>47</v>
      </c>
      <c r="N24" t="s">
        <v>15</v>
      </c>
    </row>
    <row r="25" spans="1:14" x14ac:dyDescent="0.35">
      <c r="A25">
        <v>20401</v>
      </c>
      <c r="B25" t="s">
        <v>36</v>
      </c>
      <c r="C25" t="s">
        <v>38</v>
      </c>
      <c r="D25">
        <v>50000</v>
      </c>
      <c r="E25">
        <v>4</v>
      </c>
      <c r="F25" t="s">
        <v>13</v>
      </c>
      <c r="G25" t="s">
        <v>28</v>
      </c>
      <c r="H25" t="s">
        <v>15</v>
      </c>
      <c r="I25">
        <v>2</v>
      </c>
      <c r="J25" t="s">
        <v>26</v>
      </c>
      <c r="K25" t="s">
        <v>32</v>
      </c>
      <c r="L25">
        <v>64</v>
      </c>
      <c r="M25" t="s">
        <v>48</v>
      </c>
      <c r="N25" t="s">
        <v>15</v>
      </c>
    </row>
    <row r="26" spans="1:14" x14ac:dyDescent="0.35">
      <c r="A26">
        <v>17000</v>
      </c>
      <c r="B26" t="s">
        <v>37</v>
      </c>
      <c r="C26" t="s">
        <v>38</v>
      </c>
      <c r="D26">
        <v>70000</v>
      </c>
      <c r="E26">
        <v>4</v>
      </c>
      <c r="F26" t="s">
        <v>13</v>
      </c>
      <c r="G26" t="s">
        <v>14</v>
      </c>
      <c r="H26" t="s">
        <v>15</v>
      </c>
      <c r="I26">
        <v>2</v>
      </c>
      <c r="J26" t="s">
        <v>22</v>
      </c>
      <c r="K26" t="s">
        <v>32</v>
      </c>
      <c r="L26">
        <v>43</v>
      </c>
      <c r="M26" t="s">
        <v>47</v>
      </c>
      <c r="N26" t="s">
        <v>15</v>
      </c>
    </row>
    <row r="27" spans="1:14" x14ac:dyDescent="0.35">
      <c r="A27">
        <v>27074</v>
      </c>
      <c r="B27" t="s">
        <v>36</v>
      </c>
      <c r="C27" t="s">
        <v>38</v>
      </c>
      <c r="D27">
        <v>70000</v>
      </c>
      <c r="E27">
        <v>1</v>
      </c>
      <c r="F27" t="s">
        <v>31</v>
      </c>
      <c r="G27" t="s">
        <v>14</v>
      </c>
      <c r="H27" t="s">
        <v>15</v>
      </c>
      <c r="I27">
        <v>0</v>
      </c>
      <c r="J27" t="s">
        <v>16</v>
      </c>
      <c r="K27" t="s">
        <v>32</v>
      </c>
      <c r="L27">
        <v>35</v>
      </c>
      <c r="M27" t="s">
        <v>47</v>
      </c>
      <c r="N27" t="s">
        <v>15</v>
      </c>
    </row>
    <row r="28" spans="1:14" x14ac:dyDescent="0.35">
      <c r="A28">
        <v>16151</v>
      </c>
      <c r="B28" t="s">
        <v>36</v>
      </c>
      <c r="C28" t="s">
        <v>38</v>
      </c>
      <c r="D28">
        <v>60000</v>
      </c>
      <c r="E28">
        <v>1</v>
      </c>
      <c r="F28" t="s">
        <v>13</v>
      </c>
      <c r="G28" t="s">
        <v>21</v>
      </c>
      <c r="H28" t="s">
        <v>15</v>
      </c>
      <c r="I28">
        <v>1</v>
      </c>
      <c r="J28" t="s">
        <v>22</v>
      </c>
      <c r="K28" t="s">
        <v>32</v>
      </c>
      <c r="L28">
        <v>48</v>
      </c>
      <c r="M28" t="s">
        <v>47</v>
      </c>
      <c r="N28" t="s">
        <v>15</v>
      </c>
    </row>
    <row r="29" spans="1:14" x14ac:dyDescent="0.35">
      <c r="A29">
        <v>11275</v>
      </c>
      <c r="B29" t="s">
        <v>36</v>
      </c>
      <c r="C29" t="s">
        <v>38</v>
      </c>
      <c r="D29">
        <v>80000</v>
      </c>
      <c r="E29">
        <v>4</v>
      </c>
      <c r="F29" t="s">
        <v>31</v>
      </c>
      <c r="G29" t="s">
        <v>28</v>
      </c>
      <c r="H29" t="s">
        <v>15</v>
      </c>
      <c r="I29">
        <v>2</v>
      </c>
      <c r="J29" t="s">
        <v>16</v>
      </c>
      <c r="K29" t="s">
        <v>32</v>
      </c>
      <c r="L29">
        <v>72</v>
      </c>
      <c r="M29" t="s">
        <v>48</v>
      </c>
      <c r="N29" t="s">
        <v>15</v>
      </c>
    </row>
    <row r="30" spans="1:14" x14ac:dyDescent="0.35">
      <c r="A30">
        <v>27279</v>
      </c>
      <c r="B30" t="s">
        <v>37</v>
      </c>
      <c r="C30" t="s">
        <v>38</v>
      </c>
      <c r="D30">
        <v>70000</v>
      </c>
      <c r="E30">
        <v>2</v>
      </c>
      <c r="F30" t="s">
        <v>13</v>
      </c>
      <c r="G30" t="s">
        <v>14</v>
      </c>
      <c r="H30" t="s">
        <v>15</v>
      </c>
      <c r="I30">
        <v>0</v>
      </c>
      <c r="J30" t="s">
        <v>22</v>
      </c>
      <c r="K30" t="s">
        <v>32</v>
      </c>
      <c r="L30">
        <v>38</v>
      </c>
      <c r="M30" t="s">
        <v>47</v>
      </c>
      <c r="N30" t="s">
        <v>15</v>
      </c>
    </row>
    <row r="31" spans="1:14" x14ac:dyDescent="0.35">
      <c r="A31">
        <v>16466</v>
      </c>
      <c r="B31" t="s">
        <v>37</v>
      </c>
      <c r="C31" t="s">
        <v>38</v>
      </c>
      <c r="D31">
        <v>20000</v>
      </c>
      <c r="E31">
        <v>0</v>
      </c>
      <c r="F31" t="s">
        <v>29</v>
      </c>
      <c r="G31" t="s">
        <v>25</v>
      </c>
      <c r="H31" t="s">
        <v>18</v>
      </c>
      <c r="I31">
        <v>2</v>
      </c>
      <c r="J31" t="s">
        <v>16</v>
      </c>
      <c r="K31" t="s">
        <v>17</v>
      </c>
      <c r="L31">
        <v>32</v>
      </c>
      <c r="M31" t="s">
        <v>47</v>
      </c>
      <c r="N31" t="s">
        <v>15</v>
      </c>
    </row>
    <row r="32" spans="1:14" x14ac:dyDescent="0.35">
      <c r="A32">
        <v>14883</v>
      </c>
      <c r="B32" t="s">
        <v>36</v>
      </c>
      <c r="C32" t="s">
        <v>38</v>
      </c>
      <c r="D32">
        <v>30000</v>
      </c>
      <c r="E32">
        <v>1</v>
      </c>
      <c r="F32" t="s">
        <v>13</v>
      </c>
      <c r="G32" t="s">
        <v>14</v>
      </c>
      <c r="H32" t="s">
        <v>15</v>
      </c>
      <c r="I32">
        <v>1</v>
      </c>
      <c r="J32" t="s">
        <v>23</v>
      </c>
      <c r="K32" t="s">
        <v>32</v>
      </c>
      <c r="L32">
        <v>53</v>
      </c>
      <c r="M32" t="s">
        <v>47</v>
      </c>
      <c r="N32" t="s">
        <v>15</v>
      </c>
    </row>
    <row r="33" spans="1:14" x14ac:dyDescent="0.35">
      <c r="A33">
        <v>22118</v>
      </c>
      <c r="B33" t="s">
        <v>37</v>
      </c>
      <c r="C33" t="s">
        <v>38</v>
      </c>
      <c r="D33">
        <v>70000</v>
      </c>
      <c r="E33">
        <v>3</v>
      </c>
      <c r="F33" t="s">
        <v>31</v>
      </c>
      <c r="G33" t="s">
        <v>28</v>
      </c>
      <c r="H33" t="s">
        <v>15</v>
      </c>
      <c r="I33">
        <v>2</v>
      </c>
      <c r="J33" t="s">
        <v>23</v>
      </c>
      <c r="K33" t="s">
        <v>32</v>
      </c>
      <c r="L33">
        <v>53</v>
      </c>
      <c r="M33" t="s">
        <v>47</v>
      </c>
      <c r="N33" t="s">
        <v>15</v>
      </c>
    </row>
    <row r="34" spans="1:14" x14ac:dyDescent="0.35">
      <c r="A34">
        <v>22046</v>
      </c>
      <c r="B34" t="s">
        <v>37</v>
      </c>
      <c r="C34" t="s">
        <v>38</v>
      </c>
      <c r="D34">
        <v>80000</v>
      </c>
      <c r="E34">
        <v>0</v>
      </c>
      <c r="F34" t="s">
        <v>13</v>
      </c>
      <c r="G34" t="s">
        <v>28</v>
      </c>
      <c r="H34" t="s">
        <v>18</v>
      </c>
      <c r="I34">
        <v>1</v>
      </c>
      <c r="J34" t="s">
        <v>16</v>
      </c>
      <c r="K34" t="s">
        <v>32</v>
      </c>
      <c r="L34">
        <v>38</v>
      </c>
      <c r="M34" t="s">
        <v>47</v>
      </c>
      <c r="N34" t="s">
        <v>15</v>
      </c>
    </row>
    <row r="35" spans="1:14" x14ac:dyDescent="0.35">
      <c r="A35">
        <v>13714</v>
      </c>
      <c r="B35" t="s">
        <v>36</v>
      </c>
      <c r="C35" t="s">
        <v>38</v>
      </c>
      <c r="D35">
        <v>20000</v>
      </c>
      <c r="E35">
        <v>2</v>
      </c>
      <c r="F35" t="s">
        <v>27</v>
      </c>
      <c r="G35" t="s">
        <v>25</v>
      </c>
      <c r="H35" t="s">
        <v>18</v>
      </c>
      <c r="I35">
        <v>2</v>
      </c>
      <c r="J35" t="s">
        <v>26</v>
      </c>
      <c r="K35" t="s">
        <v>32</v>
      </c>
      <c r="L35">
        <v>53</v>
      </c>
      <c r="M35" t="s">
        <v>47</v>
      </c>
      <c r="N35" t="s">
        <v>15</v>
      </c>
    </row>
    <row r="36" spans="1:14" x14ac:dyDescent="0.35">
      <c r="A36">
        <v>11745</v>
      </c>
      <c r="B36" t="s">
        <v>36</v>
      </c>
      <c r="C36" t="s">
        <v>38</v>
      </c>
      <c r="D36">
        <v>60000</v>
      </c>
      <c r="E36">
        <v>1</v>
      </c>
      <c r="F36" t="s">
        <v>13</v>
      </c>
      <c r="G36" t="s">
        <v>21</v>
      </c>
      <c r="H36" t="s">
        <v>15</v>
      </c>
      <c r="I36">
        <v>1</v>
      </c>
      <c r="J36" t="s">
        <v>16</v>
      </c>
      <c r="K36" t="s">
        <v>32</v>
      </c>
      <c r="L36">
        <v>47</v>
      </c>
      <c r="M36" t="s">
        <v>47</v>
      </c>
      <c r="N36" t="s">
        <v>15</v>
      </c>
    </row>
    <row r="37" spans="1:14" x14ac:dyDescent="0.35">
      <c r="A37">
        <v>15555</v>
      </c>
      <c r="B37" t="s">
        <v>36</v>
      </c>
      <c r="C37" t="s">
        <v>38</v>
      </c>
      <c r="D37">
        <v>60000</v>
      </c>
      <c r="E37">
        <v>1</v>
      </c>
      <c r="F37" t="s">
        <v>19</v>
      </c>
      <c r="G37" t="s">
        <v>14</v>
      </c>
      <c r="H37" t="s">
        <v>15</v>
      </c>
      <c r="I37">
        <v>1</v>
      </c>
      <c r="J37" t="s">
        <v>22</v>
      </c>
      <c r="K37" t="s">
        <v>32</v>
      </c>
      <c r="L37">
        <v>45</v>
      </c>
      <c r="M37" t="s">
        <v>47</v>
      </c>
      <c r="N37" t="s">
        <v>15</v>
      </c>
    </row>
    <row r="38" spans="1:14" x14ac:dyDescent="0.35">
      <c r="A38">
        <v>17891</v>
      </c>
      <c r="B38" t="s">
        <v>36</v>
      </c>
      <c r="C38" t="s">
        <v>38</v>
      </c>
      <c r="D38">
        <v>10000</v>
      </c>
      <c r="E38">
        <v>2</v>
      </c>
      <c r="F38" t="s">
        <v>19</v>
      </c>
      <c r="G38" t="s">
        <v>25</v>
      </c>
      <c r="H38" t="s">
        <v>15</v>
      </c>
      <c r="I38">
        <v>1</v>
      </c>
      <c r="J38" t="s">
        <v>16</v>
      </c>
      <c r="K38" t="s">
        <v>17</v>
      </c>
      <c r="L38">
        <v>50</v>
      </c>
      <c r="M38" t="s">
        <v>47</v>
      </c>
      <c r="N38" t="s">
        <v>15</v>
      </c>
    </row>
    <row r="39" spans="1:14" x14ac:dyDescent="0.35">
      <c r="A39">
        <v>23882</v>
      </c>
      <c r="B39" t="s">
        <v>37</v>
      </c>
      <c r="C39" t="s">
        <v>38</v>
      </c>
      <c r="D39">
        <v>80000</v>
      </c>
      <c r="E39">
        <v>3</v>
      </c>
      <c r="F39" t="s">
        <v>31</v>
      </c>
      <c r="G39" t="s">
        <v>21</v>
      </c>
      <c r="H39" t="s">
        <v>15</v>
      </c>
      <c r="I39">
        <v>0</v>
      </c>
      <c r="J39" t="s">
        <v>16</v>
      </c>
      <c r="K39" t="s">
        <v>32</v>
      </c>
      <c r="L39">
        <v>37</v>
      </c>
      <c r="M39" t="s">
        <v>47</v>
      </c>
      <c r="N39" t="s">
        <v>15</v>
      </c>
    </row>
    <row r="40" spans="1:14" x14ac:dyDescent="0.35">
      <c r="A40">
        <v>19143</v>
      </c>
      <c r="B40" t="s">
        <v>37</v>
      </c>
      <c r="C40" t="s">
        <v>38</v>
      </c>
      <c r="D40">
        <v>80000</v>
      </c>
      <c r="E40">
        <v>3</v>
      </c>
      <c r="F40" t="s">
        <v>13</v>
      </c>
      <c r="G40" t="s">
        <v>14</v>
      </c>
      <c r="H40" t="s">
        <v>15</v>
      </c>
      <c r="I40">
        <v>2</v>
      </c>
      <c r="J40" t="s">
        <v>22</v>
      </c>
      <c r="K40" t="s">
        <v>32</v>
      </c>
      <c r="L40">
        <v>41</v>
      </c>
      <c r="M40" t="s">
        <v>47</v>
      </c>
      <c r="N40" t="s">
        <v>15</v>
      </c>
    </row>
    <row r="41" spans="1:14" x14ac:dyDescent="0.35">
      <c r="A41">
        <v>16259</v>
      </c>
      <c r="B41" t="s">
        <v>37</v>
      </c>
      <c r="C41" t="s">
        <v>38</v>
      </c>
      <c r="D41">
        <v>10000</v>
      </c>
      <c r="E41">
        <v>4</v>
      </c>
      <c r="F41" t="s">
        <v>29</v>
      </c>
      <c r="G41" t="s">
        <v>25</v>
      </c>
      <c r="H41" t="s">
        <v>15</v>
      </c>
      <c r="I41">
        <v>2</v>
      </c>
      <c r="J41" t="s">
        <v>16</v>
      </c>
      <c r="K41" t="s">
        <v>17</v>
      </c>
      <c r="L41">
        <v>40</v>
      </c>
      <c r="M41" t="s">
        <v>47</v>
      </c>
      <c r="N41" t="s">
        <v>15</v>
      </c>
    </row>
    <row r="42" spans="1:14" x14ac:dyDescent="0.35">
      <c r="A42">
        <v>12922</v>
      </c>
      <c r="B42" t="s">
        <v>37</v>
      </c>
      <c r="C42" t="s">
        <v>38</v>
      </c>
      <c r="D42">
        <v>60000</v>
      </c>
      <c r="E42">
        <v>3</v>
      </c>
      <c r="F42" t="s">
        <v>13</v>
      </c>
      <c r="G42" t="s">
        <v>14</v>
      </c>
      <c r="H42" t="s">
        <v>15</v>
      </c>
      <c r="I42">
        <v>0</v>
      </c>
      <c r="J42" t="s">
        <v>22</v>
      </c>
      <c r="K42" t="s">
        <v>32</v>
      </c>
      <c r="L42">
        <v>40</v>
      </c>
      <c r="M42" t="s">
        <v>47</v>
      </c>
      <c r="N42" t="s">
        <v>15</v>
      </c>
    </row>
    <row r="43" spans="1:14" x14ac:dyDescent="0.35">
      <c r="A43">
        <v>14347</v>
      </c>
      <c r="B43" t="s">
        <v>37</v>
      </c>
      <c r="C43" t="s">
        <v>38</v>
      </c>
      <c r="D43">
        <v>40000</v>
      </c>
      <c r="E43">
        <v>2</v>
      </c>
      <c r="F43" t="s">
        <v>13</v>
      </c>
      <c r="G43" t="s">
        <v>28</v>
      </c>
      <c r="H43" t="s">
        <v>15</v>
      </c>
      <c r="I43">
        <v>2</v>
      </c>
      <c r="J43" t="s">
        <v>23</v>
      </c>
      <c r="K43" t="s">
        <v>24</v>
      </c>
      <c r="L43">
        <v>65</v>
      </c>
      <c r="M43" t="s">
        <v>48</v>
      </c>
      <c r="N43" t="s">
        <v>15</v>
      </c>
    </row>
    <row r="44" spans="1:14" x14ac:dyDescent="0.35">
      <c r="A44">
        <v>19889</v>
      </c>
      <c r="B44" t="s">
        <v>37</v>
      </c>
      <c r="C44" t="s">
        <v>38</v>
      </c>
      <c r="D44">
        <v>70000</v>
      </c>
      <c r="E44">
        <v>2</v>
      </c>
      <c r="F44" t="s">
        <v>29</v>
      </c>
      <c r="G44" t="s">
        <v>14</v>
      </c>
      <c r="H44" t="s">
        <v>18</v>
      </c>
      <c r="I44">
        <v>2</v>
      </c>
      <c r="J44" t="s">
        <v>22</v>
      </c>
      <c r="K44" t="s">
        <v>32</v>
      </c>
      <c r="L44">
        <v>54</v>
      </c>
      <c r="M44" t="s">
        <v>48</v>
      </c>
      <c r="N44" t="s">
        <v>15</v>
      </c>
    </row>
    <row r="45" spans="1:14" x14ac:dyDescent="0.35">
      <c r="A45">
        <v>17185</v>
      </c>
      <c r="B45" t="s">
        <v>36</v>
      </c>
      <c r="C45" t="s">
        <v>38</v>
      </c>
      <c r="D45">
        <v>170000</v>
      </c>
      <c r="E45">
        <v>4</v>
      </c>
      <c r="F45" t="s">
        <v>19</v>
      </c>
      <c r="G45" t="s">
        <v>21</v>
      </c>
      <c r="H45" t="s">
        <v>18</v>
      </c>
      <c r="I45">
        <v>3</v>
      </c>
      <c r="J45" t="s">
        <v>23</v>
      </c>
      <c r="K45" t="s">
        <v>17</v>
      </c>
      <c r="L45">
        <v>48</v>
      </c>
      <c r="M45" t="s">
        <v>47</v>
      </c>
      <c r="N45" t="s">
        <v>15</v>
      </c>
    </row>
    <row r="46" spans="1:14" x14ac:dyDescent="0.35">
      <c r="A46">
        <v>29380</v>
      </c>
      <c r="B46" t="s">
        <v>36</v>
      </c>
      <c r="C46" t="s">
        <v>38</v>
      </c>
      <c r="D46">
        <v>20000</v>
      </c>
      <c r="E46">
        <v>3</v>
      </c>
      <c r="F46" t="s">
        <v>27</v>
      </c>
      <c r="G46" t="s">
        <v>25</v>
      </c>
      <c r="H46" t="s">
        <v>15</v>
      </c>
      <c r="I46">
        <v>0</v>
      </c>
      <c r="J46" t="s">
        <v>16</v>
      </c>
      <c r="K46" t="s">
        <v>17</v>
      </c>
      <c r="L46">
        <v>41</v>
      </c>
      <c r="M46" t="s">
        <v>47</v>
      </c>
      <c r="N46" t="s">
        <v>15</v>
      </c>
    </row>
    <row r="47" spans="1:14" x14ac:dyDescent="0.35">
      <c r="A47">
        <v>23986</v>
      </c>
      <c r="B47" t="s">
        <v>36</v>
      </c>
      <c r="C47" t="s">
        <v>38</v>
      </c>
      <c r="D47">
        <v>20000</v>
      </c>
      <c r="E47">
        <v>1</v>
      </c>
      <c r="F47" t="s">
        <v>13</v>
      </c>
      <c r="G47" t="s">
        <v>20</v>
      </c>
      <c r="H47" t="s">
        <v>15</v>
      </c>
      <c r="I47">
        <v>0</v>
      </c>
      <c r="J47" t="s">
        <v>16</v>
      </c>
      <c r="K47" t="s">
        <v>17</v>
      </c>
      <c r="L47">
        <v>66</v>
      </c>
      <c r="M47" t="s">
        <v>48</v>
      </c>
      <c r="N47" t="s">
        <v>15</v>
      </c>
    </row>
    <row r="48" spans="1:14" x14ac:dyDescent="0.35">
      <c r="A48">
        <v>24466</v>
      </c>
      <c r="B48" t="s">
        <v>36</v>
      </c>
      <c r="C48" t="s">
        <v>38</v>
      </c>
      <c r="D48">
        <v>60000</v>
      </c>
      <c r="E48">
        <v>1</v>
      </c>
      <c r="F48" t="s">
        <v>19</v>
      </c>
      <c r="G48" t="s">
        <v>14</v>
      </c>
      <c r="H48" t="s">
        <v>15</v>
      </c>
      <c r="I48">
        <v>1</v>
      </c>
      <c r="J48" t="s">
        <v>23</v>
      </c>
      <c r="K48" t="s">
        <v>24</v>
      </c>
      <c r="L48">
        <v>46</v>
      </c>
      <c r="M48" t="s">
        <v>47</v>
      </c>
      <c r="N48" t="s">
        <v>15</v>
      </c>
    </row>
    <row r="49" spans="1:14" x14ac:dyDescent="0.35">
      <c r="A49">
        <v>29097</v>
      </c>
      <c r="B49" t="s">
        <v>37</v>
      </c>
      <c r="C49" t="s">
        <v>38</v>
      </c>
      <c r="D49">
        <v>40000</v>
      </c>
      <c r="E49">
        <v>2</v>
      </c>
      <c r="F49" t="s">
        <v>19</v>
      </c>
      <c r="G49" t="s">
        <v>14</v>
      </c>
      <c r="H49" t="s">
        <v>15</v>
      </c>
      <c r="I49">
        <v>2</v>
      </c>
      <c r="J49" t="s">
        <v>23</v>
      </c>
      <c r="K49" t="s">
        <v>24</v>
      </c>
      <c r="L49">
        <v>52</v>
      </c>
      <c r="M49" t="s">
        <v>47</v>
      </c>
      <c r="N49" t="s">
        <v>15</v>
      </c>
    </row>
    <row r="50" spans="1:14" x14ac:dyDescent="0.35">
      <c r="A50">
        <v>27540</v>
      </c>
      <c r="B50" t="s">
        <v>37</v>
      </c>
      <c r="C50" t="s">
        <v>38</v>
      </c>
      <c r="D50">
        <v>70000</v>
      </c>
      <c r="E50">
        <v>0</v>
      </c>
      <c r="F50" t="s">
        <v>13</v>
      </c>
      <c r="G50" t="s">
        <v>21</v>
      </c>
      <c r="H50" t="s">
        <v>18</v>
      </c>
      <c r="I50">
        <v>1</v>
      </c>
      <c r="J50" t="s">
        <v>16</v>
      </c>
      <c r="K50" t="s">
        <v>32</v>
      </c>
      <c r="L50">
        <v>37</v>
      </c>
      <c r="M50" t="s">
        <v>47</v>
      </c>
      <c r="N50" t="s">
        <v>15</v>
      </c>
    </row>
    <row r="51" spans="1:14" x14ac:dyDescent="0.35">
      <c r="A51">
        <v>19163</v>
      </c>
      <c r="B51" t="s">
        <v>36</v>
      </c>
      <c r="C51" t="s">
        <v>38</v>
      </c>
      <c r="D51">
        <v>70000</v>
      </c>
      <c r="E51">
        <v>4</v>
      </c>
      <c r="F51" t="s">
        <v>13</v>
      </c>
      <c r="G51" t="s">
        <v>21</v>
      </c>
      <c r="H51" t="s">
        <v>15</v>
      </c>
      <c r="I51">
        <v>2</v>
      </c>
      <c r="J51" t="s">
        <v>16</v>
      </c>
      <c r="K51" t="s">
        <v>32</v>
      </c>
      <c r="L51">
        <v>43</v>
      </c>
      <c r="M51" t="s">
        <v>47</v>
      </c>
      <c r="N51" t="s">
        <v>15</v>
      </c>
    </row>
    <row r="52" spans="1:14" x14ac:dyDescent="0.35">
      <c r="A52">
        <v>13911</v>
      </c>
      <c r="B52" t="s">
        <v>37</v>
      </c>
      <c r="C52" t="s">
        <v>38</v>
      </c>
      <c r="D52">
        <v>80000</v>
      </c>
      <c r="E52">
        <v>3</v>
      </c>
      <c r="F52" t="s">
        <v>13</v>
      </c>
      <c r="G52" t="s">
        <v>14</v>
      </c>
      <c r="H52" t="s">
        <v>15</v>
      </c>
      <c r="I52">
        <v>2</v>
      </c>
      <c r="J52" t="s">
        <v>22</v>
      </c>
      <c r="K52" t="s">
        <v>32</v>
      </c>
      <c r="L52">
        <v>41</v>
      </c>
      <c r="M52" t="s">
        <v>47</v>
      </c>
      <c r="N52" t="s">
        <v>15</v>
      </c>
    </row>
    <row r="53" spans="1:14" x14ac:dyDescent="0.35">
      <c r="A53">
        <v>23041</v>
      </c>
      <c r="B53" t="s">
        <v>37</v>
      </c>
      <c r="C53" t="s">
        <v>38</v>
      </c>
      <c r="D53">
        <v>70000</v>
      </c>
      <c r="E53">
        <v>4</v>
      </c>
      <c r="F53" t="s">
        <v>27</v>
      </c>
      <c r="G53" t="s">
        <v>21</v>
      </c>
      <c r="H53" t="s">
        <v>15</v>
      </c>
      <c r="I53">
        <v>0</v>
      </c>
      <c r="J53" t="s">
        <v>23</v>
      </c>
      <c r="K53" t="s">
        <v>32</v>
      </c>
      <c r="L53">
        <v>50</v>
      </c>
      <c r="M53" t="s">
        <v>47</v>
      </c>
      <c r="N53" t="s">
        <v>15</v>
      </c>
    </row>
    <row r="54" spans="1:14" x14ac:dyDescent="0.35">
      <c r="A54">
        <v>17012</v>
      </c>
      <c r="B54" t="s">
        <v>36</v>
      </c>
      <c r="C54" t="s">
        <v>38</v>
      </c>
      <c r="D54">
        <v>60000</v>
      </c>
      <c r="E54">
        <v>3</v>
      </c>
      <c r="F54" t="s">
        <v>31</v>
      </c>
      <c r="G54" t="s">
        <v>21</v>
      </c>
      <c r="H54" t="s">
        <v>15</v>
      </c>
      <c r="I54">
        <v>0</v>
      </c>
      <c r="J54" t="s">
        <v>22</v>
      </c>
      <c r="K54" t="s">
        <v>32</v>
      </c>
      <c r="L54">
        <v>42</v>
      </c>
      <c r="M54" t="s">
        <v>47</v>
      </c>
      <c r="N54" t="s">
        <v>15</v>
      </c>
    </row>
    <row r="55" spans="1:14" x14ac:dyDescent="0.35">
      <c r="A55">
        <v>21660</v>
      </c>
      <c r="B55" t="s">
        <v>36</v>
      </c>
      <c r="C55" t="s">
        <v>38</v>
      </c>
      <c r="D55">
        <v>60000</v>
      </c>
      <c r="E55">
        <v>3</v>
      </c>
      <c r="F55" t="s">
        <v>31</v>
      </c>
      <c r="G55" t="s">
        <v>21</v>
      </c>
      <c r="H55" t="s">
        <v>15</v>
      </c>
      <c r="I55">
        <v>0</v>
      </c>
      <c r="J55" t="s">
        <v>22</v>
      </c>
      <c r="K55" t="s">
        <v>32</v>
      </c>
      <c r="L55">
        <v>43</v>
      </c>
      <c r="M55" t="s">
        <v>47</v>
      </c>
      <c r="N55" t="s">
        <v>15</v>
      </c>
    </row>
    <row r="56" spans="1:14" x14ac:dyDescent="0.35">
      <c r="A56">
        <v>13351</v>
      </c>
      <c r="B56" t="s">
        <v>37</v>
      </c>
      <c r="C56" t="s">
        <v>38</v>
      </c>
      <c r="D56">
        <v>70000</v>
      </c>
      <c r="E56">
        <v>4</v>
      </c>
      <c r="F56" t="s">
        <v>13</v>
      </c>
      <c r="G56" t="s">
        <v>28</v>
      </c>
      <c r="H56" t="s">
        <v>15</v>
      </c>
      <c r="I56">
        <v>2</v>
      </c>
      <c r="J56" t="s">
        <v>26</v>
      </c>
      <c r="K56" t="s">
        <v>32</v>
      </c>
      <c r="L56">
        <v>62</v>
      </c>
      <c r="M56" t="s">
        <v>48</v>
      </c>
      <c r="N56" t="s">
        <v>15</v>
      </c>
    </row>
    <row r="57" spans="1:14" x14ac:dyDescent="0.35">
      <c r="A57">
        <v>20376</v>
      </c>
      <c r="B57" t="s">
        <v>37</v>
      </c>
      <c r="C57" t="s">
        <v>38</v>
      </c>
      <c r="D57">
        <v>70000</v>
      </c>
      <c r="E57">
        <v>3</v>
      </c>
      <c r="F57" t="s">
        <v>31</v>
      </c>
      <c r="G57" t="s">
        <v>28</v>
      </c>
      <c r="H57" t="s">
        <v>15</v>
      </c>
      <c r="I57">
        <v>2</v>
      </c>
      <c r="J57" t="s">
        <v>23</v>
      </c>
      <c r="K57" t="s">
        <v>32</v>
      </c>
      <c r="L57">
        <v>52</v>
      </c>
      <c r="M57" t="s">
        <v>47</v>
      </c>
      <c r="N57" t="s">
        <v>15</v>
      </c>
    </row>
    <row r="58" spans="1:14" x14ac:dyDescent="0.35">
      <c r="A58">
        <v>21417</v>
      </c>
      <c r="B58" t="s">
        <v>37</v>
      </c>
      <c r="C58" t="s">
        <v>38</v>
      </c>
      <c r="D58">
        <v>60000</v>
      </c>
      <c r="E58">
        <v>0</v>
      </c>
      <c r="F58" t="s">
        <v>19</v>
      </c>
      <c r="G58" t="s">
        <v>21</v>
      </c>
      <c r="H58" t="s">
        <v>18</v>
      </c>
      <c r="I58">
        <v>2</v>
      </c>
      <c r="J58" t="s">
        <v>26</v>
      </c>
      <c r="K58" t="s">
        <v>32</v>
      </c>
      <c r="L58">
        <v>32</v>
      </c>
      <c r="M58" t="s">
        <v>47</v>
      </c>
      <c r="N58" t="s">
        <v>15</v>
      </c>
    </row>
    <row r="59" spans="1:14" x14ac:dyDescent="0.35">
      <c r="A59">
        <v>15287</v>
      </c>
      <c r="B59" t="s">
        <v>37</v>
      </c>
      <c r="C59" t="s">
        <v>38</v>
      </c>
      <c r="D59">
        <v>50000</v>
      </c>
      <c r="E59">
        <v>1</v>
      </c>
      <c r="F59" t="s">
        <v>31</v>
      </c>
      <c r="G59" t="s">
        <v>14</v>
      </c>
      <c r="H59" t="s">
        <v>15</v>
      </c>
      <c r="I59">
        <v>0</v>
      </c>
      <c r="J59" t="s">
        <v>26</v>
      </c>
      <c r="K59" t="s">
        <v>32</v>
      </c>
      <c r="L59">
        <v>33</v>
      </c>
      <c r="M59" t="s">
        <v>47</v>
      </c>
      <c r="N59" t="s">
        <v>15</v>
      </c>
    </row>
    <row r="60" spans="1:14" x14ac:dyDescent="0.35">
      <c r="A60">
        <v>25502</v>
      </c>
      <c r="B60" t="s">
        <v>36</v>
      </c>
      <c r="C60" t="s">
        <v>38</v>
      </c>
      <c r="D60">
        <v>40000</v>
      </c>
      <c r="E60">
        <v>1</v>
      </c>
      <c r="F60" t="s">
        <v>13</v>
      </c>
      <c r="G60" t="s">
        <v>14</v>
      </c>
      <c r="H60" t="s">
        <v>15</v>
      </c>
      <c r="I60">
        <v>0</v>
      </c>
      <c r="J60" t="s">
        <v>16</v>
      </c>
      <c r="K60" t="s">
        <v>17</v>
      </c>
      <c r="L60">
        <v>43</v>
      </c>
      <c r="M60" t="s">
        <v>47</v>
      </c>
      <c r="N60" t="s">
        <v>15</v>
      </c>
    </row>
    <row r="61" spans="1:14" x14ac:dyDescent="0.35">
      <c r="A61">
        <v>22971</v>
      </c>
      <c r="B61" t="s">
        <v>37</v>
      </c>
      <c r="C61" t="s">
        <v>38</v>
      </c>
      <c r="D61">
        <v>30000</v>
      </c>
      <c r="E61">
        <v>0</v>
      </c>
      <c r="F61" t="s">
        <v>27</v>
      </c>
      <c r="G61" t="s">
        <v>14</v>
      </c>
      <c r="H61" t="s">
        <v>18</v>
      </c>
      <c r="I61">
        <v>2</v>
      </c>
      <c r="J61" t="s">
        <v>16</v>
      </c>
      <c r="K61" t="s">
        <v>32</v>
      </c>
      <c r="L61">
        <v>25</v>
      </c>
      <c r="M61" t="s">
        <v>46</v>
      </c>
      <c r="N61" t="s">
        <v>15</v>
      </c>
    </row>
    <row r="62" spans="1:14" x14ac:dyDescent="0.35">
      <c r="A62">
        <v>28031</v>
      </c>
      <c r="B62" t="s">
        <v>37</v>
      </c>
      <c r="C62" t="s">
        <v>38</v>
      </c>
      <c r="D62">
        <v>70000</v>
      </c>
      <c r="E62">
        <v>2</v>
      </c>
      <c r="F62" t="s">
        <v>13</v>
      </c>
      <c r="G62" t="s">
        <v>28</v>
      </c>
      <c r="H62" t="s">
        <v>18</v>
      </c>
      <c r="I62">
        <v>1</v>
      </c>
      <c r="J62" t="s">
        <v>22</v>
      </c>
      <c r="K62" t="s">
        <v>32</v>
      </c>
      <c r="L62">
        <v>59</v>
      </c>
      <c r="M62" t="s">
        <v>48</v>
      </c>
      <c r="N62" t="s">
        <v>15</v>
      </c>
    </row>
    <row r="63" spans="1:14" x14ac:dyDescent="0.35">
      <c r="A63">
        <v>24496</v>
      </c>
      <c r="B63" t="s">
        <v>37</v>
      </c>
      <c r="C63" t="s">
        <v>38</v>
      </c>
      <c r="D63">
        <v>40000</v>
      </c>
      <c r="E63">
        <v>0</v>
      </c>
      <c r="F63" t="s">
        <v>27</v>
      </c>
      <c r="G63" t="s">
        <v>14</v>
      </c>
      <c r="H63" t="s">
        <v>18</v>
      </c>
      <c r="I63">
        <v>2</v>
      </c>
      <c r="J63" t="s">
        <v>16</v>
      </c>
      <c r="K63" t="s">
        <v>32</v>
      </c>
      <c r="L63">
        <v>28</v>
      </c>
      <c r="M63" t="s">
        <v>46</v>
      </c>
      <c r="N63" t="s">
        <v>15</v>
      </c>
    </row>
    <row r="64" spans="1:14" x14ac:dyDescent="0.35">
      <c r="A64">
        <v>20076</v>
      </c>
      <c r="B64" t="s">
        <v>37</v>
      </c>
      <c r="C64" t="s">
        <v>38</v>
      </c>
      <c r="D64">
        <v>10000</v>
      </c>
      <c r="E64">
        <v>2</v>
      </c>
      <c r="F64" t="s">
        <v>27</v>
      </c>
      <c r="G64" t="s">
        <v>25</v>
      </c>
      <c r="H64" t="s">
        <v>15</v>
      </c>
      <c r="I64">
        <v>2</v>
      </c>
      <c r="J64" t="s">
        <v>26</v>
      </c>
      <c r="K64" t="s">
        <v>32</v>
      </c>
      <c r="L64">
        <v>53</v>
      </c>
      <c r="M64" t="s">
        <v>47</v>
      </c>
      <c r="N64" t="s">
        <v>15</v>
      </c>
    </row>
    <row r="65" spans="1:14" x14ac:dyDescent="0.35">
      <c r="A65">
        <v>14602</v>
      </c>
      <c r="B65" t="s">
        <v>36</v>
      </c>
      <c r="C65" t="s">
        <v>38</v>
      </c>
      <c r="D65">
        <v>80000</v>
      </c>
      <c r="E65">
        <v>3</v>
      </c>
      <c r="F65" t="s">
        <v>31</v>
      </c>
      <c r="G65" t="s">
        <v>21</v>
      </c>
      <c r="H65" t="s">
        <v>15</v>
      </c>
      <c r="I65">
        <v>0</v>
      </c>
      <c r="J65" t="s">
        <v>16</v>
      </c>
      <c r="K65" t="s">
        <v>32</v>
      </c>
      <c r="L65">
        <v>36</v>
      </c>
      <c r="M65" t="s">
        <v>47</v>
      </c>
      <c r="N65" t="s">
        <v>15</v>
      </c>
    </row>
    <row r="66" spans="1:14" x14ac:dyDescent="0.35">
      <c r="A66">
        <v>14927</v>
      </c>
      <c r="B66" t="s">
        <v>36</v>
      </c>
      <c r="C66" t="s">
        <v>38</v>
      </c>
      <c r="D66">
        <v>30000</v>
      </c>
      <c r="E66">
        <v>1</v>
      </c>
      <c r="F66" t="s">
        <v>13</v>
      </c>
      <c r="G66" t="s">
        <v>20</v>
      </c>
      <c r="H66" t="s">
        <v>15</v>
      </c>
      <c r="I66">
        <v>0</v>
      </c>
      <c r="J66" t="s">
        <v>16</v>
      </c>
      <c r="K66" t="s">
        <v>17</v>
      </c>
      <c r="L66">
        <v>37</v>
      </c>
      <c r="M66" t="s">
        <v>47</v>
      </c>
      <c r="N66" t="s">
        <v>15</v>
      </c>
    </row>
    <row r="67" spans="1:14" x14ac:dyDescent="0.35">
      <c r="A67">
        <v>24979</v>
      </c>
      <c r="B67" t="s">
        <v>36</v>
      </c>
      <c r="C67" t="s">
        <v>38</v>
      </c>
      <c r="D67">
        <v>60000</v>
      </c>
      <c r="E67">
        <v>2</v>
      </c>
      <c r="F67" t="s">
        <v>19</v>
      </c>
      <c r="G67" t="s">
        <v>21</v>
      </c>
      <c r="H67" t="s">
        <v>15</v>
      </c>
      <c r="I67">
        <v>2</v>
      </c>
      <c r="J67" t="s">
        <v>22</v>
      </c>
      <c r="K67" t="s">
        <v>32</v>
      </c>
      <c r="L67">
        <v>57</v>
      </c>
      <c r="M67" t="s">
        <v>48</v>
      </c>
      <c r="N67" t="s">
        <v>15</v>
      </c>
    </row>
    <row r="68" spans="1:14" x14ac:dyDescent="0.35">
      <c r="A68">
        <v>29355</v>
      </c>
      <c r="B68" t="s">
        <v>36</v>
      </c>
      <c r="C68" t="s">
        <v>38</v>
      </c>
      <c r="D68">
        <v>40000</v>
      </c>
      <c r="E68">
        <v>0</v>
      </c>
      <c r="F68" t="s">
        <v>31</v>
      </c>
      <c r="G68" t="s">
        <v>20</v>
      </c>
      <c r="H68" t="s">
        <v>15</v>
      </c>
      <c r="I68">
        <v>0</v>
      </c>
      <c r="J68" t="s">
        <v>16</v>
      </c>
      <c r="K68" t="s">
        <v>17</v>
      </c>
      <c r="L68">
        <v>37</v>
      </c>
      <c r="M68" t="s">
        <v>47</v>
      </c>
      <c r="N68" t="s">
        <v>15</v>
      </c>
    </row>
    <row r="69" spans="1:14" x14ac:dyDescent="0.35">
      <c r="A69">
        <v>16753</v>
      </c>
      <c r="B69" t="s">
        <v>37</v>
      </c>
      <c r="C69" t="s">
        <v>38</v>
      </c>
      <c r="D69">
        <v>70000</v>
      </c>
      <c r="E69">
        <v>0</v>
      </c>
      <c r="F69" t="s">
        <v>19</v>
      </c>
      <c r="G69" t="s">
        <v>14</v>
      </c>
      <c r="H69" t="s">
        <v>15</v>
      </c>
      <c r="I69">
        <v>2</v>
      </c>
      <c r="J69" t="s">
        <v>23</v>
      </c>
      <c r="K69" t="s">
        <v>32</v>
      </c>
      <c r="L69">
        <v>34</v>
      </c>
      <c r="M69" t="s">
        <v>47</v>
      </c>
      <c r="N69" t="s">
        <v>15</v>
      </c>
    </row>
    <row r="70" spans="1:14" x14ac:dyDescent="0.35">
      <c r="A70">
        <v>14813</v>
      </c>
      <c r="B70" t="s">
        <v>37</v>
      </c>
      <c r="C70" t="s">
        <v>38</v>
      </c>
      <c r="D70">
        <v>20000</v>
      </c>
      <c r="E70">
        <v>4</v>
      </c>
      <c r="F70" t="s">
        <v>27</v>
      </c>
      <c r="G70" t="s">
        <v>25</v>
      </c>
      <c r="H70" t="s">
        <v>15</v>
      </c>
      <c r="I70">
        <v>1</v>
      </c>
      <c r="J70" t="s">
        <v>16</v>
      </c>
      <c r="K70" t="s">
        <v>17</v>
      </c>
      <c r="L70">
        <v>43</v>
      </c>
      <c r="M70" t="s">
        <v>47</v>
      </c>
      <c r="N70" t="s">
        <v>15</v>
      </c>
    </row>
    <row r="71" spans="1:14" x14ac:dyDescent="0.35">
      <c r="A71">
        <v>23217</v>
      </c>
      <c r="B71" t="s">
        <v>37</v>
      </c>
      <c r="C71" t="s">
        <v>38</v>
      </c>
      <c r="D71">
        <v>60000</v>
      </c>
      <c r="E71">
        <v>3</v>
      </c>
      <c r="F71" t="s">
        <v>31</v>
      </c>
      <c r="G71" t="s">
        <v>21</v>
      </c>
      <c r="H71" t="s">
        <v>15</v>
      </c>
      <c r="I71">
        <v>0</v>
      </c>
      <c r="J71" t="s">
        <v>22</v>
      </c>
      <c r="K71" t="s">
        <v>32</v>
      </c>
      <c r="L71">
        <v>43</v>
      </c>
      <c r="M71" t="s">
        <v>47</v>
      </c>
      <c r="N71" t="s">
        <v>15</v>
      </c>
    </row>
    <row r="72" spans="1:14" x14ac:dyDescent="0.35">
      <c r="A72">
        <v>23668</v>
      </c>
      <c r="B72" t="s">
        <v>36</v>
      </c>
      <c r="C72" t="s">
        <v>38</v>
      </c>
      <c r="D72">
        <v>40000</v>
      </c>
      <c r="E72">
        <v>4</v>
      </c>
      <c r="F72" t="s">
        <v>27</v>
      </c>
      <c r="G72" t="s">
        <v>21</v>
      </c>
      <c r="H72" t="s">
        <v>15</v>
      </c>
      <c r="I72">
        <v>2</v>
      </c>
      <c r="J72" t="s">
        <v>23</v>
      </c>
      <c r="K72" t="s">
        <v>32</v>
      </c>
      <c r="L72">
        <v>59</v>
      </c>
      <c r="M72" t="s">
        <v>48</v>
      </c>
      <c r="N72" t="s">
        <v>15</v>
      </c>
    </row>
    <row r="73" spans="1:14" x14ac:dyDescent="0.35">
      <c r="A73">
        <v>14913</v>
      </c>
      <c r="B73" t="s">
        <v>36</v>
      </c>
      <c r="C73" t="s">
        <v>38</v>
      </c>
      <c r="D73">
        <v>40000</v>
      </c>
      <c r="E73">
        <v>1</v>
      </c>
      <c r="F73" t="s">
        <v>19</v>
      </c>
      <c r="G73" t="s">
        <v>20</v>
      </c>
      <c r="H73" t="s">
        <v>15</v>
      </c>
      <c r="I73">
        <v>1</v>
      </c>
      <c r="J73" t="s">
        <v>26</v>
      </c>
      <c r="K73" t="s">
        <v>32</v>
      </c>
      <c r="L73">
        <v>48</v>
      </c>
      <c r="M73" t="s">
        <v>47</v>
      </c>
      <c r="N73" t="s">
        <v>15</v>
      </c>
    </row>
    <row r="74" spans="1:14" x14ac:dyDescent="0.35">
      <c r="A74">
        <v>28799</v>
      </c>
      <c r="B74" t="s">
        <v>37</v>
      </c>
      <c r="C74" t="s">
        <v>38</v>
      </c>
      <c r="D74">
        <v>40000</v>
      </c>
      <c r="E74">
        <v>2</v>
      </c>
      <c r="F74" t="s">
        <v>19</v>
      </c>
      <c r="G74" t="s">
        <v>20</v>
      </c>
      <c r="H74" t="s">
        <v>18</v>
      </c>
      <c r="I74">
        <v>1</v>
      </c>
      <c r="J74" t="s">
        <v>26</v>
      </c>
      <c r="K74" t="s">
        <v>32</v>
      </c>
      <c r="L74">
        <v>47</v>
      </c>
      <c r="M74" t="s">
        <v>47</v>
      </c>
      <c r="N74" t="s">
        <v>15</v>
      </c>
    </row>
    <row r="75" spans="1:14" x14ac:dyDescent="0.35">
      <c r="A75">
        <v>26956</v>
      </c>
      <c r="B75" t="s">
        <v>37</v>
      </c>
      <c r="C75" t="s">
        <v>38</v>
      </c>
      <c r="D75">
        <v>20000</v>
      </c>
      <c r="E75">
        <v>0</v>
      </c>
      <c r="F75" t="s">
        <v>19</v>
      </c>
      <c r="G75" t="s">
        <v>25</v>
      </c>
      <c r="H75" t="s">
        <v>18</v>
      </c>
      <c r="I75">
        <v>1</v>
      </c>
      <c r="J75" t="s">
        <v>22</v>
      </c>
      <c r="K75" t="s">
        <v>17</v>
      </c>
      <c r="L75">
        <v>36</v>
      </c>
      <c r="M75" t="s">
        <v>47</v>
      </c>
      <c r="N75" t="s">
        <v>15</v>
      </c>
    </row>
    <row r="76" spans="1:14" x14ac:dyDescent="0.35">
      <c r="A76">
        <v>16867</v>
      </c>
      <c r="B76" t="s">
        <v>37</v>
      </c>
      <c r="C76" t="s">
        <v>38</v>
      </c>
      <c r="D76">
        <v>130000</v>
      </c>
      <c r="E76">
        <v>1</v>
      </c>
      <c r="F76" t="s">
        <v>13</v>
      </c>
      <c r="G76" t="s">
        <v>28</v>
      </c>
      <c r="H76" t="s">
        <v>18</v>
      </c>
      <c r="I76">
        <v>3</v>
      </c>
      <c r="J76" t="s">
        <v>16</v>
      </c>
      <c r="K76" t="s">
        <v>32</v>
      </c>
      <c r="L76">
        <v>45</v>
      </c>
      <c r="M76" t="s">
        <v>47</v>
      </c>
      <c r="N76" t="s">
        <v>15</v>
      </c>
    </row>
    <row r="77" spans="1:14" x14ac:dyDescent="0.35">
      <c r="A77">
        <v>26625</v>
      </c>
      <c r="B77" t="s">
        <v>37</v>
      </c>
      <c r="C77" t="s">
        <v>38</v>
      </c>
      <c r="D77">
        <v>60000</v>
      </c>
      <c r="E77">
        <v>0</v>
      </c>
      <c r="F77" t="s">
        <v>31</v>
      </c>
      <c r="G77" t="s">
        <v>21</v>
      </c>
      <c r="H77" t="s">
        <v>15</v>
      </c>
      <c r="I77">
        <v>1</v>
      </c>
      <c r="J77" t="s">
        <v>22</v>
      </c>
      <c r="K77" t="s">
        <v>32</v>
      </c>
      <c r="L77">
        <v>38</v>
      </c>
      <c r="M77" t="s">
        <v>47</v>
      </c>
      <c r="N77" t="s">
        <v>15</v>
      </c>
    </row>
    <row r="78" spans="1:14" x14ac:dyDescent="0.35">
      <c r="A78">
        <v>24324</v>
      </c>
      <c r="B78" t="s">
        <v>37</v>
      </c>
      <c r="C78" t="s">
        <v>38</v>
      </c>
      <c r="D78">
        <v>60000</v>
      </c>
      <c r="E78">
        <v>4</v>
      </c>
      <c r="F78" t="s">
        <v>13</v>
      </c>
      <c r="G78" t="s">
        <v>14</v>
      </c>
      <c r="H78" t="s">
        <v>15</v>
      </c>
      <c r="I78">
        <v>2</v>
      </c>
      <c r="J78" t="s">
        <v>22</v>
      </c>
      <c r="K78" t="s">
        <v>32</v>
      </c>
      <c r="L78">
        <v>41</v>
      </c>
      <c r="M78" t="s">
        <v>47</v>
      </c>
      <c r="N78" t="s">
        <v>15</v>
      </c>
    </row>
    <row r="79" spans="1:14" x14ac:dyDescent="0.35">
      <c r="A79">
        <v>11886</v>
      </c>
      <c r="B79" t="s">
        <v>36</v>
      </c>
      <c r="C79" t="s">
        <v>38</v>
      </c>
      <c r="D79">
        <v>60000</v>
      </c>
      <c r="E79">
        <v>3</v>
      </c>
      <c r="F79" t="s">
        <v>13</v>
      </c>
      <c r="G79" t="s">
        <v>21</v>
      </c>
      <c r="H79" t="s">
        <v>15</v>
      </c>
      <c r="I79">
        <v>1</v>
      </c>
      <c r="J79" t="s">
        <v>16</v>
      </c>
      <c r="K79" t="s">
        <v>32</v>
      </c>
      <c r="L79">
        <v>48</v>
      </c>
      <c r="M79" t="s">
        <v>47</v>
      </c>
      <c r="N79" t="s">
        <v>15</v>
      </c>
    </row>
    <row r="80" spans="1:14" x14ac:dyDescent="0.35">
      <c r="A80">
        <v>24958</v>
      </c>
      <c r="B80" t="s">
        <v>37</v>
      </c>
      <c r="C80" t="s">
        <v>38</v>
      </c>
      <c r="D80">
        <v>40000</v>
      </c>
      <c r="E80">
        <v>5</v>
      </c>
      <c r="F80" t="s">
        <v>27</v>
      </c>
      <c r="G80" t="s">
        <v>21</v>
      </c>
      <c r="H80" t="s">
        <v>18</v>
      </c>
      <c r="I80">
        <v>3</v>
      </c>
      <c r="J80" t="s">
        <v>22</v>
      </c>
      <c r="K80" t="s">
        <v>32</v>
      </c>
      <c r="L80">
        <v>60</v>
      </c>
      <c r="M80" t="s">
        <v>48</v>
      </c>
      <c r="N80" t="s">
        <v>15</v>
      </c>
    </row>
    <row r="81" spans="1:14" x14ac:dyDescent="0.35">
      <c r="A81">
        <v>27090</v>
      </c>
      <c r="B81" t="s">
        <v>36</v>
      </c>
      <c r="C81" t="s">
        <v>38</v>
      </c>
      <c r="D81">
        <v>60000</v>
      </c>
      <c r="E81">
        <v>1</v>
      </c>
      <c r="F81" t="s">
        <v>31</v>
      </c>
      <c r="G81" t="s">
        <v>21</v>
      </c>
      <c r="H81" t="s">
        <v>15</v>
      </c>
      <c r="I81">
        <v>0</v>
      </c>
      <c r="J81" t="s">
        <v>22</v>
      </c>
      <c r="K81" t="s">
        <v>32</v>
      </c>
      <c r="L81">
        <v>37</v>
      </c>
      <c r="M81" t="s">
        <v>47</v>
      </c>
      <c r="N81" t="s">
        <v>15</v>
      </c>
    </row>
    <row r="82" spans="1:14" x14ac:dyDescent="0.35">
      <c r="A82">
        <v>20828</v>
      </c>
      <c r="B82" t="s">
        <v>36</v>
      </c>
      <c r="C82" t="s">
        <v>38</v>
      </c>
      <c r="D82">
        <v>30000</v>
      </c>
      <c r="E82">
        <v>4</v>
      </c>
      <c r="F82" t="s">
        <v>31</v>
      </c>
      <c r="G82" t="s">
        <v>20</v>
      </c>
      <c r="H82" t="s">
        <v>15</v>
      </c>
      <c r="I82">
        <v>0</v>
      </c>
      <c r="J82" t="s">
        <v>16</v>
      </c>
      <c r="K82" t="s">
        <v>17</v>
      </c>
      <c r="L82">
        <v>45</v>
      </c>
      <c r="M82" t="s">
        <v>47</v>
      </c>
      <c r="N82" t="s">
        <v>15</v>
      </c>
    </row>
    <row r="83" spans="1:14" x14ac:dyDescent="0.35">
      <c r="A83">
        <v>17546</v>
      </c>
      <c r="B83" t="s">
        <v>36</v>
      </c>
      <c r="C83" t="s">
        <v>38</v>
      </c>
      <c r="D83">
        <v>70000</v>
      </c>
      <c r="E83">
        <v>1</v>
      </c>
      <c r="F83" t="s">
        <v>19</v>
      </c>
      <c r="G83" t="s">
        <v>14</v>
      </c>
      <c r="H83" t="s">
        <v>15</v>
      </c>
      <c r="I83">
        <v>1</v>
      </c>
      <c r="J83" t="s">
        <v>16</v>
      </c>
      <c r="K83" t="s">
        <v>32</v>
      </c>
      <c r="L83">
        <v>44</v>
      </c>
      <c r="M83" t="s">
        <v>47</v>
      </c>
      <c r="N83" t="s">
        <v>15</v>
      </c>
    </row>
    <row r="84" spans="1:14" x14ac:dyDescent="0.35">
      <c r="A84">
        <v>20296</v>
      </c>
      <c r="B84" t="s">
        <v>37</v>
      </c>
      <c r="C84" t="s">
        <v>38</v>
      </c>
      <c r="D84">
        <v>60000</v>
      </c>
      <c r="E84">
        <v>0</v>
      </c>
      <c r="F84" t="s">
        <v>19</v>
      </c>
      <c r="G84" t="s">
        <v>14</v>
      </c>
      <c r="H84" t="s">
        <v>18</v>
      </c>
      <c r="I84">
        <v>1</v>
      </c>
      <c r="J84" t="s">
        <v>26</v>
      </c>
      <c r="K84" t="s">
        <v>32</v>
      </c>
      <c r="L84">
        <v>33</v>
      </c>
      <c r="M84" t="s">
        <v>47</v>
      </c>
      <c r="N84" t="s">
        <v>15</v>
      </c>
    </row>
    <row r="85" spans="1:14" x14ac:dyDescent="0.35">
      <c r="A85">
        <v>29132</v>
      </c>
      <c r="B85" t="s">
        <v>37</v>
      </c>
      <c r="C85" t="s">
        <v>38</v>
      </c>
      <c r="D85">
        <v>40000</v>
      </c>
      <c r="E85">
        <v>0</v>
      </c>
      <c r="F85" t="s">
        <v>13</v>
      </c>
      <c r="G85" t="s">
        <v>21</v>
      </c>
      <c r="H85" t="s">
        <v>15</v>
      </c>
      <c r="I85">
        <v>1</v>
      </c>
      <c r="J85" t="s">
        <v>22</v>
      </c>
      <c r="K85" t="s">
        <v>32</v>
      </c>
      <c r="L85">
        <v>42</v>
      </c>
      <c r="M85" t="s">
        <v>47</v>
      </c>
      <c r="N85" t="s">
        <v>15</v>
      </c>
    </row>
    <row r="86" spans="1:14" x14ac:dyDescent="0.35">
      <c r="A86">
        <v>28068</v>
      </c>
      <c r="B86" t="s">
        <v>37</v>
      </c>
      <c r="C86" t="s">
        <v>38</v>
      </c>
      <c r="D86">
        <v>80000</v>
      </c>
      <c r="E86">
        <v>3</v>
      </c>
      <c r="F86" t="s">
        <v>31</v>
      </c>
      <c r="G86" t="s">
        <v>21</v>
      </c>
      <c r="H86" t="s">
        <v>18</v>
      </c>
      <c r="I86">
        <v>0</v>
      </c>
      <c r="J86" t="s">
        <v>16</v>
      </c>
      <c r="K86" t="s">
        <v>32</v>
      </c>
      <c r="L86">
        <v>36</v>
      </c>
      <c r="M86" t="s">
        <v>47</v>
      </c>
      <c r="N86" t="s">
        <v>15</v>
      </c>
    </row>
    <row r="87" spans="1:14" x14ac:dyDescent="0.35">
      <c r="A87">
        <v>25970</v>
      </c>
      <c r="B87" t="s">
        <v>37</v>
      </c>
      <c r="C87" t="s">
        <v>38</v>
      </c>
      <c r="D87">
        <v>60000</v>
      </c>
      <c r="E87">
        <v>4</v>
      </c>
      <c r="F87" t="s">
        <v>13</v>
      </c>
      <c r="G87" t="s">
        <v>14</v>
      </c>
      <c r="H87" t="s">
        <v>18</v>
      </c>
      <c r="I87">
        <v>2</v>
      </c>
      <c r="J87" t="s">
        <v>16</v>
      </c>
      <c r="K87" t="s">
        <v>32</v>
      </c>
      <c r="L87">
        <v>41</v>
      </c>
      <c r="M87" t="s">
        <v>47</v>
      </c>
      <c r="N87" t="s">
        <v>15</v>
      </c>
    </row>
    <row r="88" spans="1:14" x14ac:dyDescent="0.35">
      <c r="A88">
        <v>12774</v>
      </c>
      <c r="B88" t="s">
        <v>36</v>
      </c>
      <c r="C88" t="s">
        <v>38</v>
      </c>
      <c r="D88">
        <v>40000</v>
      </c>
      <c r="E88">
        <v>1</v>
      </c>
      <c r="F88" t="s">
        <v>19</v>
      </c>
      <c r="G88" t="s">
        <v>20</v>
      </c>
      <c r="H88" t="s">
        <v>15</v>
      </c>
      <c r="I88">
        <v>1</v>
      </c>
      <c r="J88" t="s">
        <v>26</v>
      </c>
      <c r="K88" t="s">
        <v>32</v>
      </c>
      <c r="L88">
        <v>51</v>
      </c>
      <c r="M88" t="s">
        <v>47</v>
      </c>
      <c r="N88" t="s">
        <v>15</v>
      </c>
    </row>
    <row r="89" spans="1:14" x14ac:dyDescent="0.35">
      <c r="A89">
        <v>27673</v>
      </c>
      <c r="B89" t="s">
        <v>37</v>
      </c>
      <c r="C89" t="s">
        <v>38</v>
      </c>
      <c r="D89">
        <v>60000</v>
      </c>
      <c r="E89">
        <v>3</v>
      </c>
      <c r="F89" t="s">
        <v>31</v>
      </c>
      <c r="G89" t="s">
        <v>28</v>
      </c>
      <c r="H89" t="s">
        <v>15</v>
      </c>
      <c r="I89">
        <v>2</v>
      </c>
      <c r="J89" t="s">
        <v>23</v>
      </c>
      <c r="K89" t="s">
        <v>32</v>
      </c>
      <c r="L89">
        <v>53</v>
      </c>
      <c r="M89" t="s">
        <v>47</v>
      </c>
      <c r="N89" t="s">
        <v>15</v>
      </c>
    </row>
    <row r="90" spans="1:14" x14ac:dyDescent="0.35">
      <c r="A90">
        <v>11817</v>
      </c>
      <c r="B90" t="s">
        <v>37</v>
      </c>
      <c r="C90" t="s">
        <v>38</v>
      </c>
      <c r="D90">
        <v>70000</v>
      </c>
      <c r="E90">
        <v>4</v>
      </c>
      <c r="F90" t="s">
        <v>31</v>
      </c>
      <c r="G90" t="s">
        <v>21</v>
      </c>
      <c r="H90" t="s">
        <v>15</v>
      </c>
      <c r="I90">
        <v>0</v>
      </c>
      <c r="J90" t="s">
        <v>22</v>
      </c>
      <c r="K90" t="s">
        <v>32</v>
      </c>
      <c r="L90">
        <v>35</v>
      </c>
      <c r="M90" t="s">
        <v>47</v>
      </c>
      <c r="N90" t="s">
        <v>15</v>
      </c>
    </row>
    <row r="91" spans="1:14" x14ac:dyDescent="0.35">
      <c r="A91">
        <v>22252</v>
      </c>
      <c r="B91" t="s">
        <v>37</v>
      </c>
      <c r="C91" t="s">
        <v>38</v>
      </c>
      <c r="D91">
        <v>60000</v>
      </c>
      <c r="E91">
        <v>1</v>
      </c>
      <c r="F91" t="s">
        <v>31</v>
      </c>
      <c r="G91" t="s">
        <v>21</v>
      </c>
      <c r="H91" t="s">
        <v>15</v>
      </c>
      <c r="I91">
        <v>0</v>
      </c>
      <c r="J91" t="s">
        <v>22</v>
      </c>
      <c r="K91" t="s">
        <v>32</v>
      </c>
      <c r="L91">
        <v>36</v>
      </c>
      <c r="M91" t="s">
        <v>47</v>
      </c>
      <c r="N91" t="s">
        <v>15</v>
      </c>
    </row>
    <row r="92" spans="1:14" x14ac:dyDescent="0.35">
      <c r="A92">
        <v>26886</v>
      </c>
      <c r="B92" t="s">
        <v>37</v>
      </c>
      <c r="C92" t="s">
        <v>38</v>
      </c>
      <c r="D92">
        <v>30000</v>
      </c>
      <c r="E92">
        <v>0</v>
      </c>
      <c r="F92" t="s">
        <v>19</v>
      </c>
      <c r="G92" t="s">
        <v>20</v>
      </c>
      <c r="H92" t="s">
        <v>18</v>
      </c>
      <c r="I92">
        <v>1</v>
      </c>
      <c r="J92" t="s">
        <v>16</v>
      </c>
      <c r="K92" t="s">
        <v>17</v>
      </c>
      <c r="L92">
        <v>29</v>
      </c>
      <c r="M92" t="s">
        <v>46</v>
      </c>
      <c r="N92" t="s">
        <v>15</v>
      </c>
    </row>
    <row r="93" spans="1:14" x14ac:dyDescent="0.35">
      <c r="A93">
        <v>17864</v>
      </c>
      <c r="B93" t="s">
        <v>36</v>
      </c>
      <c r="C93" t="s">
        <v>38</v>
      </c>
      <c r="D93">
        <v>60000</v>
      </c>
      <c r="E93">
        <v>1</v>
      </c>
      <c r="F93" t="s">
        <v>19</v>
      </c>
      <c r="G93" t="s">
        <v>14</v>
      </c>
      <c r="H93" t="s">
        <v>15</v>
      </c>
      <c r="I93">
        <v>1</v>
      </c>
      <c r="J93" t="s">
        <v>22</v>
      </c>
      <c r="K93" t="s">
        <v>32</v>
      </c>
      <c r="L93">
        <v>46</v>
      </c>
      <c r="M93" t="s">
        <v>47</v>
      </c>
      <c r="N93" t="s">
        <v>15</v>
      </c>
    </row>
    <row r="94" spans="1:14" x14ac:dyDescent="0.35">
      <c r="A94">
        <v>19562</v>
      </c>
      <c r="B94" t="s">
        <v>37</v>
      </c>
      <c r="C94" t="s">
        <v>38</v>
      </c>
      <c r="D94">
        <v>60000</v>
      </c>
      <c r="E94">
        <v>2</v>
      </c>
      <c r="F94" t="s">
        <v>13</v>
      </c>
      <c r="G94" t="s">
        <v>21</v>
      </c>
      <c r="H94" t="s">
        <v>15</v>
      </c>
      <c r="I94">
        <v>1</v>
      </c>
      <c r="J94" t="s">
        <v>22</v>
      </c>
      <c r="K94" t="s">
        <v>24</v>
      </c>
      <c r="L94">
        <v>37</v>
      </c>
      <c r="M94" t="s">
        <v>47</v>
      </c>
      <c r="N94" t="s">
        <v>15</v>
      </c>
    </row>
    <row r="95" spans="1:14" x14ac:dyDescent="0.35">
      <c r="A95">
        <v>28580</v>
      </c>
      <c r="B95" t="s">
        <v>36</v>
      </c>
      <c r="C95" t="s">
        <v>38</v>
      </c>
      <c r="D95">
        <v>80000</v>
      </c>
      <c r="E95">
        <v>0</v>
      </c>
      <c r="F95" t="s">
        <v>31</v>
      </c>
      <c r="G95" t="s">
        <v>14</v>
      </c>
      <c r="H95" t="s">
        <v>15</v>
      </c>
      <c r="I95">
        <v>0</v>
      </c>
      <c r="J95" t="s">
        <v>26</v>
      </c>
      <c r="K95" t="s">
        <v>32</v>
      </c>
      <c r="L95">
        <v>40</v>
      </c>
      <c r="M95" t="s">
        <v>47</v>
      </c>
      <c r="N95" t="s">
        <v>15</v>
      </c>
    </row>
    <row r="96" spans="1:14" x14ac:dyDescent="0.35">
      <c r="A96">
        <v>21599</v>
      </c>
      <c r="B96" t="s">
        <v>36</v>
      </c>
      <c r="C96" t="s">
        <v>38</v>
      </c>
      <c r="D96">
        <v>60000</v>
      </c>
      <c r="E96">
        <v>1</v>
      </c>
      <c r="F96" t="s">
        <v>31</v>
      </c>
      <c r="G96" t="s">
        <v>21</v>
      </c>
      <c r="H96" t="s">
        <v>15</v>
      </c>
      <c r="I96">
        <v>0</v>
      </c>
      <c r="J96" t="s">
        <v>22</v>
      </c>
      <c r="K96" t="s">
        <v>32</v>
      </c>
      <c r="L96">
        <v>36</v>
      </c>
      <c r="M96" t="s">
        <v>47</v>
      </c>
      <c r="N96" t="s">
        <v>15</v>
      </c>
    </row>
    <row r="97" spans="1:14" x14ac:dyDescent="0.35">
      <c r="A97">
        <v>18435</v>
      </c>
      <c r="B97" t="s">
        <v>37</v>
      </c>
      <c r="C97" t="s">
        <v>38</v>
      </c>
      <c r="D97">
        <v>70000</v>
      </c>
      <c r="E97">
        <v>5</v>
      </c>
      <c r="F97" t="s">
        <v>31</v>
      </c>
      <c r="G97" t="s">
        <v>28</v>
      </c>
      <c r="H97" t="s">
        <v>15</v>
      </c>
      <c r="I97">
        <v>2</v>
      </c>
      <c r="J97" t="s">
        <v>44</v>
      </c>
      <c r="K97" t="s">
        <v>32</v>
      </c>
      <c r="L97">
        <v>67</v>
      </c>
      <c r="M97" t="s">
        <v>48</v>
      </c>
      <c r="N97" t="s">
        <v>15</v>
      </c>
    </row>
    <row r="98" spans="1:14" x14ac:dyDescent="0.35">
      <c r="A98">
        <v>19164</v>
      </c>
      <c r="B98" t="s">
        <v>37</v>
      </c>
      <c r="C98" t="s">
        <v>38</v>
      </c>
      <c r="D98">
        <v>70000</v>
      </c>
      <c r="E98">
        <v>0</v>
      </c>
      <c r="F98" t="s">
        <v>13</v>
      </c>
      <c r="G98" t="s">
        <v>21</v>
      </c>
      <c r="H98" t="s">
        <v>18</v>
      </c>
      <c r="I98">
        <v>1</v>
      </c>
      <c r="J98" t="s">
        <v>22</v>
      </c>
      <c r="K98" t="s">
        <v>32</v>
      </c>
      <c r="L98">
        <v>38</v>
      </c>
      <c r="M98" t="s">
        <v>47</v>
      </c>
      <c r="N98" t="s">
        <v>15</v>
      </c>
    </row>
    <row r="99" spans="1:14" x14ac:dyDescent="0.35">
      <c r="A99">
        <v>25872</v>
      </c>
      <c r="B99" t="s">
        <v>37</v>
      </c>
      <c r="C99" t="s">
        <v>38</v>
      </c>
      <c r="D99">
        <v>70000</v>
      </c>
      <c r="E99">
        <v>2</v>
      </c>
      <c r="F99" t="s">
        <v>13</v>
      </c>
      <c r="G99" t="s">
        <v>28</v>
      </c>
      <c r="H99" t="s">
        <v>18</v>
      </c>
      <c r="I99">
        <v>1</v>
      </c>
      <c r="J99" t="s">
        <v>22</v>
      </c>
      <c r="K99" t="s">
        <v>32</v>
      </c>
      <c r="L99">
        <v>58</v>
      </c>
      <c r="M99" t="s">
        <v>48</v>
      </c>
      <c r="N99" t="s">
        <v>15</v>
      </c>
    </row>
    <row r="100" spans="1:14" x14ac:dyDescent="0.35">
      <c r="A100">
        <v>14572</v>
      </c>
      <c r="B100" t="s">
        <v>36</v>
      </c>
      <c r="C100" t="s">
        <v>38</v>
      </c>
      <c r="D100">
        <v>70000</v>
      </c>
      <c r="E100">
        <v>3</v>
      </c>
      <c r="F100" t="s">
        <v>31</v>
      </c>
      <c r="G100" t="s">
        <v>21</v>
      </c>
      <c r="H100" t="s">
        <v>15</v>
      </c>
      <c r="I100">
        <v>0</v>
      </c>
      <c r="J100" t="s">
        <v>22</v>
      </c>
      <c r="K100" t="s">
        <v>32</v>
      </c>
      <c r="L100">
        <v>35</v>
      </c>
      <c r="M100" t="s">
        <v>47</v>
      </c>
      <c r="N100" t="s">
        <v>15</v>
      </c>
    </row>
    <row r="101" spans="1:14" x14ac:dyDescent="0.35">
      <c r="A101">
        <v>21741</v>
      </c>
      <c r="B101" t="s">
        <v>36</v>
      </c>
      <c r="C101" t="s">
        <v>38</v>
      </c>
      <c r="D101">
        <v>70000</v>
      </c>
      <c r="E101">
        <v>3</v>
      </c>
      <c r="F101" t="s">
        <v>19</v>
      </c>
      <c r="G101" t="s">
        <v>21</v>
      </c>
      <c r="H101" t="s">
        <v>15</v>
      </c>
      <c r="I101">
        <v>2</v>
      </c>
      <c r="J101" t="s">
        <v>23</v>
      </c>
      <c r="K101" t="s">
        <v>32</v>
      </c>
      <c r="L101">
        <v>50</v>
      </c>
      <c r="M101" t="s">
        <v>47</v>
      </c>
      <c r="N101" t="s">
        <v>15</v>
      </c>
    </row>
    <row r="102" spans="1:14" x14ac:dyDescent="0.35">
      <c r="A102">
        <v>25886</v>
      </c>
      <c r="B102" t="s">
        <v>36</v>
      </c>
      <c r="C102" t="s">
        <v>38</v>
      </c>
      <c r="D102">
        <v>60000</v>
      </c>
      <c r="E102">
        <v>2</v>
      </c>
      <c r="F102" t="s">
        <v>19</v>
      </c>
      <c r="G102" t="s">
        <v>21</v>
      </c>
      <c r="H102" t="s">
        <v>15</v>
      </c>
      <c r="I102">
        <v>2</v>
      </c>
      <c r="J102" t="s">
        <v>22</v>
      </c>
      <c r="K102" t="s">
        <v>32</v>
      </c>
      <c r="L102">
        <v>56</v>
      </c>
      <c r="M102" t="s">
        <v>48</v>
      </c>
      <c r="N102" t="s">
        <v>15</v>
      </c>
    </row>
    <row r="103" spans="1:14" x14ac:dyDescent="0.35">
      <c r="A103">
        <v>29237</v>
      </c>
      <c r="B103" t="s">
        <v>37</v>
      </c>
      <c r="C103" t="s">
        <v>38</v>
      </c>
      <c r="D103">
        <v>120000</v>
      </c>
      <c r="E103">
        <v>4</v>
      </c>
      <c r="F103" t="s">
        <v>19</v>
      </c>
      <c r="G103" t="s">
        <v>21</v>
      </c>
      <c r="H103" t="s">
        <v>15</v>
      </c>
      <c r="I103">
        <v>3</v>
      </c>
      <c r="J103" t="s">
        <v>23</v>
      </c>
      <c r="K103" t="s">
        <v>32</v>
      </c>
      <c r="L103">
        <v>43</v>
      </c>
      <c r="M103" t="s">
        <v>47</v>
      </c>
      <c r="N103" t="s">
        <v>15</v>
      </c>
    </row>
    <row r="104" spans="1:14" x14ac:dyDescent="0.35">
      <c r="A104">
        <v>22088</v>
      </c>
      <c r="B104" t="s">
        <v>36</v>
      </c>
      <c r="C104" t="s">
        <v>38</v>
      </c>
      <c r="D104">
        <v>130000</v>
      </c>
      <c r="E104">
        <v>1</v>
      </c>
      <c r="F104" t="s">
        <v>13</v>
      </c>
      <c r="G104" t="s">
        <v>28</v>
      </c>
      <c r="H104" t="s">
        <v>15</v>
      </c>
      <c r="I104">
        <v>2</v>
      </c>
      <c r="J104" t="s">
        <v>16</v>
      </c>
      <c r="K104" t="s">
        <v>32</v>
      </c>
      <c r="L104">
        <v>45</v>
      </c>
      <c r="M104" t="s">
        <v>47</v>
      </c>
      <c r="N104" t="s">
        <v>15</v>
      </c>
    </row>
    <row r="105" spans="1:14" x14ac:dyDescent="0.35">
      <c r="A105">
        <v>25943</v>
      </c>
      <c r="B105" t="s">
        <v>37</v>
      </c>
      <c r="C105" t="s">
        <v>38</v>
      </c>
      <c r="D105">
        <v>70000</v>
      </c>
      <c r="E105">
        <v>0</v>
      </c>
      <c r="F105" t="s">
        <v>19</v>
      </c>
      <c r="G105" t="s">
        <v>14</v>
      </c>
      <c r="H105" t="s">
        <v>18</v>
      </c>
      <c r="I105">
        <v>2</v>
      </c>
      <c r="J105" t="s">
        <v>16</v>
      </c>
      <c r="K105" t="s">
        <v>32</v>
      </c>
      <c r="L105">
        <v>27</v>
      </c>
      <c r="M105" t="s">
        <v>46</v>
      </c>
      <c r="N105" t="s">
        <v>15</v>
      </c>
    </row>
    <row r="106" spans="1:14" x14ac:dyDescent="0.35">
      <c r="A106">
        <v>18491</v>
      </c>
      <c r="B106" t="s">
        <v>37</v>
      </c>
      <c r="C106" t="s">
        <v>38</v>
      </c>
      <c r="D106">
        <v>70000</v>
      </c>
      <c r="E106">
        <v>2</v>
      </c>
      <c r="F106" t="s">
        <v>27</v>
      </c>
      <c r="G106" t="s">
        <v>21</v>
      </c>
      <c r="H106" t="s">
        <v>15</v>
      </c>
      <c r="I106">
        <v>2</v>
      </c>
      <c r="J106" t="s">
        <v>23</v>
      </c>
      <c r="K106" t="s">
        <v>24</v>
      </c>
      <c r="L106">
        <v>49</v>
      </c>
      <c r="M106" t="s">
        <v>47</v>
      </c>
      <c r="N106" t="s">
        <v>15</v>
      </c>
    </row>
    <row r="107" spans="1:14" x14ac:dyDescent="0.35">
      <c r="A107">
        <v>11259</v>
      </c>
      <c r="B107" t="s">
        <v>36</v>
      </c>
      <c r="C107" t="s">
        <v>38</v>
      </c>
      <c r="D107">
        <v>100000</v>
      </c>
      <c r="E107">
        <v>4</v>
      </c>
      <c r="F107" t="s">
        <v>19</v>
      </c>
      <c r="G107" t="s">
        <v>21</v>
      </c>
      <c r="H107" t="s">
        <v>15</v>
      </c>
      <c r="I107">
        <v>4</v>
      </c>
      <c r="J107" t="s">
        <v>22</v>
      </c>
      <c r="K107" t="s">
        <v>32</v>
      </c>
      <c r="L107">
        <v>41</v>
      </c>
      <c r="M107" t="s">
        <v>47</v>
      </c>
      <c r="N107" t="s">
        <v>15</v>
      </c>
    </row>
    <row r="108" spans="1:14" x14ac:dyDescent="0.35">
      <c r="A108">
        <v>11538</v>
      </c>
      <c r="B108" t="s">
        <v>37</v>
      </c>
      <c r="C108" t="s">
        <v>38</v>
      </c>
      <c r="D108">
        <v>60000</v>
      </c>
      <c r="E108">
        <v>4</v>
      </c>
      <c r="F108" t="s">
        <v>31</v>
      </c>
      <c r="G108" t="s">
        <v>14</v>
      </c>
      <c r="H108" t="s">
        <v>18</v>
      </c>
      <c r="I108">
        <v>0</v>
      </c>
      <c r="J108" t="s">
        <v>16</v>
      </c>
      <c r="K108" t="s">
        <v>32</v>
      </c>
      <c r="L108">
        <v>47</v>
      </c>
      <c r="M108" t="s">
        <v>47</v>
      </c>
      <c r="N108" t="s">
        <v>15</v>
      </c>
    </row>
    <row r="109" spans="1:14" x14ac:dyDescent="0.35">
      <c r="A109">
        <v>27494</v>
      </c>
      <c r="B109" t="s">
        <v>37</v>
      </c>
      <c r="C109" t="s">
        <v>38</v>
      </c>
      <c r="D109">
        <v>40000</v>
      </c>
      <c r="E109">
        <v>2</v>
      </c>
      <c r="F109" t="s">
        <v>19</v>
      </c>
      <c r="G109" t="s">
        <v>14</v>
      </c>
      <c r="H109" t="s">
        <v>18</v>
      </c>
      <c r="I109">
        <v>2</v>
      </c>
      <c r="J109" t="s">
        <v>26</v>
      </c>
      <c r="K109" t="s">
        <v>24</v>
      </c>
      <c r="L109">
        <v>53</v>
      </c>
      <c r="M109" t="s">
        <v>47</v>
      </c>
      <c r="N109" t="s">
        <v>15</v>
      </c>
    </row>
    <row r="110" spans="1:14" x14ac:dyDescent="0.35">
      <c r="A110">
        <v>26829</v>
      </c>
      <c r="B110" t="s">
        <v>36</v>
      </c>
      <c r="C110" t="s">
        <v>38</v>
      </c>
      <c r="D110">
        <v>40000</v>
      </c>
      <c r="E110">
        <v>0</v>
      </c>
      <c r="F110" t="s">
        <v>13</v>
      </c>
      <c r="G110" t="s">
        <v>20</v>
      </c>
      <c r="H110" t="s">
        <v>15</v>
      </c>
      <c r="I110">
        <v>0</v>
      </c>
      <c r="J110" t="s">
        <v>16</v>
      </c>
      <c r="K110" t="s">
        <v>17</v>
      </c>
      <c r="L110">
        <v>38</v>
      </c>
      <c r="M110" t="s">
        <v>47</v>
      </c>
      <c r="N110" t="s">
        <v>15</v>
      </c>
    </row>
    <row r="111" spans="1:14" x14ac:dyDescent="0.35">
      <c r="A111">
        <v>22994</v>
      </c>
      <c r="B111" t="s">
        <v>36</v>
      </c>
      <c r="C111" t="s">
        <v>38</v>
      </c>
      <c r="D111">
        <v>80000</v>
      </c>
      <c r="E111">
        <v>0</v>
      </c>
      <c r="F111" t="s">
        <v>13</v>
      </c>
      <c r="G111" t="s">
        <v>28</v>
      </c>
      <c r="H111" t="s">
        <v>15</v>
      </c>
      <c r="I111">
        <v>1</v>
      </c>
      <c r="J111" t="s">
        <v>26</v>
      </c>
      <c r="K111" t="s">
        <v>32</v>
      </c>
      <c r="L111">
        <v>34</v>
      </c>
      <c r="M111" t="s">
        <v>47</v>
      </c>
      <c r="N111" t="s">
        <v>15</v>
      </c>
    </row>
    <row r="112" spans="1:14" x14ac:dyDescent="0.35">
      <c r="A112">
        <v>21006</v>
      </c>
      <c r="B112" t="s">
        <v>37</v>
      </c>
      <c r="C112" t="s">
        <v>38</v>
      </c>
      <c r="D112">
        <v>30000</v>
      </c>
      <c r="E112">
        <v>1</v>
      </c>
      <c r="F112" t="s">
        <v>19</v>
      </c>
      <c r="G112" t="s">
        <v>25</v>
      </c>
      <c r="H112" t="s">
        <v>18</v>
      </c>
      <c r="I112">
        <v>0</v>
      </c>
      <c r="J112" t="s">
        <v>16</v>
      </c>
      <c r="K112" t="s">
        <v>17</v>
      </c>
      <c r="L112">
        <v>46</v>
      </c>
      <c r="M112" t="s">
        <v>47</v>
      </c>
      <c r="N112" t="s">
        <v>15</v>
      </c>
    </row>
    <row r="113" spans="1:14" x14ac:dyDescent="0.35">
      <c r="A113">
        <v>16145</v>
      </c>
      <c r="B113" t="s">
        <v>37</v>
      </c>
      <c r="C113" t="s">
        <v>38</v>
      </c>
      <c r="D113">
        <v>70000</v>
      </c>
      <c r="E113">
        <v>5</v>
      </c>
      <c r="F113" t="s">
        <v>31</v>
      </c>
      <c r="G113" t="s">
        <v>21</v>
      </c>
      <c r="H113" t="s">
        <v>15</v>
      </c>
      <c r="I113">
        <v>3</v>
      </c>
      <c r="J113" t="s">
        <v>44</v>
      </c>
      <c r="K113" t="s">
        <v>32</v>
      </c>
      <c r="L113">
        <v>46</v>
      </c>
      <c r="M113" t="s">
        <v>47</v>
      </c>
      <c r="N113" t="s">
        <v>15</v>
      </c>
    </row>
    <row r="114" spans="1:14" x14ac:dyDescent="0.35">
      <c r="A114">
        <v>19002</v>
      </c>
      <c r="B114" t="s">
        <v>36</v>
      </c>
      <c r="C114" t="s">
        <v>38</v>
      </c>
      <c r="D114">
        <v>60000</v>
      </c>
      <c r="E114">
        <v>2</v>
      </c>
      <c r="F114" t="s">
        <v>19</v>
      </c>
      <c r="G114" t="s">
        <v>21</v>
      </c>
      <c r="H114" t="s">
        <v>15</v>
      </c>
      <c r="I114">
        <v>1</v>
      </c>
      <c r="J114" t="s">
        <v>22</v>
      </c>
      <c r="K114" t="s">
        <v>32</v>
      </c>
      <c r="L114">
        <v>57</v>
      </c>
      <c r="M114" t="s">
        <v>48</v>
      </c>
      <c r="N114" t="s">
        <v>15</v>
      </c>
    </row>
    <row r="115" spans="1:14" x14ac:dyDescent="0.35">
      <c r="A115">
        <v>29191</v>
      </c>
      <c r="B115" t="s">
        <v>37</v>
      </c>
      <c r="C115" t="s">
        <v>38</v>
      </c>
      <c r="D115">
        <v>130000</v>
      </c>
      <c r="E115">
        <v>1</v>
      </c>
      <c r="F115" t="s">
        <v>31</v>
      </c>
      <c r="G115" t="s">
        <v>28</v>
      </c>
      <c r="H115" t="s">
        <v>18</v>
      </c>
      <c r="I115">
        <v>1</v>
      </c>
      <c r="J115" t="s">
        <v>16</v>
      </c>
      <c r="K115" t="s">
        <v>24</v>
      </c>
      <c r="L115">
        <v>36</v>
      </c>
      <c r="M115" t="s">
        <v>47</v>
      </c>
      <c r="N115" t="s">
        <v>15</v>
      </c>
    </row>
    <row r="116" spans="1:14" x14ac:dyDescent="0.35">
      <c r="A116">
        <v>19812</v>
      </c>
      <c r="B116" t="s">
        <v>37</v>
      </c>
      <c r="C116" t="s">
        <v>38</v>
      </c>
      <c r="D116">
        <v>70000</v>
      </c>
      <c r="E116">
        <v>2</v>
      </c>
      <c r="F116" t="s">
        <v>19</v>
      </c>
      <c r="G116" t="s">
        <v>21</v>
      </c>
      <c r="H116" t="s">
        <v>15</v>
      </c>
      <c r="I116">
        <v>0</v>
      </c>
      <c r="J116" t="s">
        <v>23</v>
      </c>
      <c r="K116" t="s">
        <v>32</v>
      </c>
      <c r="L116">
        <v>49</v>
      </c>
      <c r="M116" t="s">
        <v>47</v>
      </c>
      <c r="N116" t="s">
        <v>15</v>
      </c>
    </row>
    <row r="117" spans="1:14" x14ac:dyDescent="0.35">
      <c r="A117">
        <v>23158</v>
      </c>
      <c r="B117" t="s">
        <v>36</v>
      </c>
      <c r="C117" t="s">
        <v>38</v>
      </c>
      <c r="D117">
        <v>60000</v>
      </c>
      <c r="E117">
        <v>1</v>
      </c>
      <c r="F117" t="s">
        <v>31</v>
      </c>
      <c r="G117" t="s">
        <v>21</v>
      </c>
      <c r="H117" t="s">
        <v>18</v>
      </c>
      <c r="I117">
        <v>0</v>
      </c>
      <c r="J117" t="s">
        <v>16</v>
      </c>
      <c r="K117" t="s">
        <v>32</v>
      </c>
      <c r="L117">
        <v>35</v>
      </c>
      <c r="M117" t="s">
        <v>47</v>
      </c>
      <c r="N117" t="s">
        <v>15</v>
      </c>
    </row>
    <row r="118" spans="1:14" x14ac:dyDescent="0.35">
      <c r="A118">
        <v>16871</v>
      </c>
      <c r="B118" t="s">
        <v>36</v>
      </c>
      <c r="C118" t="s">
        <v>38</v>
      </c>
      <c r="D118">
        <v>90000</v>
      </c>
      <c r="E118">
        <v>2</v>
      </c>
      <c r="F118" t="s">
        <v>27</v>
      </c>
      <c r="G118" t="s">
        <v>21</v>
      </c>
      <c r="H118" t="s">
        <v>15</v>
      </c>
      <c r="I118">
        <v>1</v>
      </c>
      <c r="J118" t="s">
        <v>44</v>
      </c>
      <c r="K118" t="s">
        <v>32</v>
      </c>
      <c r="L118">
        <v>51</v>
      </c>
      <c r="M118" t="s">
        <v>47</v>
      </c>
      <c r="N118" t="s">
        <v>15</v>
      </c>
    </row>
    <row r="119" spans="1:14" x14ac:dyDescent="0.35">
      <c r="A119">
        <v>24065</v>
      </c>
      <c r="B119" t="s">
        <v>37</v>
      </c>
      <c r="C119" t="s">
        <v>38</v>
      </c>
      <c r="D119">
        <v>20000</v>
      </c>
      <c r="E119">
        <v>0</v>
      </c>
      <c r="F119" t="s">
        <v>27</v>
      </c>
      <c r="G119" t="s">
        <v>25</v>
      </c>
      <c r="H119" t="s">
        <v>15</v>
      </c>
      <c r="I119">
        <v>0</v>
      </c>
      <c r="J119" t="s">
        <v>16</v>
      </c>
      <c r="K119" t="s">
        <v>17</v>
      </c>
      <c r="L119">
        <v>40</v>
      </c>
      <c r="M119" t="s">
        <v>47</v>
      </c>
      <c r="N119" t="s">
        <v>15</v>
      </c>
    </row>
    <row r="120" spans="1:14" x14ac:dyDescent="0.35">
      <c r="A120">
        <v>21266</v>
      </c>
      <c r="B120" t="s">
        <v>37</v>
      </c>
      <c r="C120" t="s">
        <v>38</v>
      </c>
      <c r="D120">
        <v>80000</v>
      </c>
      <c r="E120">
        <v>0</v>
      </c>
      <c r="F120" t="s">
        <v>13</v>
      </c>
      <c r="G120" t="s">
        <v>28</v>
      </c>
      <c r="H120" t="s">
        <v>15</v>
      </c>
      <c r="I120">
        <v>1</v>
      </c>
      <c r="J120" t="s">
        <v>26</v>
      </c>
      <c r="K120" t="s">
        <v>32</v>
      </c>
      <c r="L120">
        <v>34</v>
      </c>
      <c r="M120" t="s">
        <v>47</v>
      </c>
      <c r="N120" t="s">
        <v>15</v>
      </c>
    </row>
    <row r="121" spans="1:14" x14ac:dyDescent="0.35">
      <c r="A121">
        <v>18560</v>
      </c>
      <c r="B121" t="s">
        <v>36</v>
      </c>
      <c r="C121" t="s">
        <v>38</v>
      </c>
      <c r="D121">
        <v>70000</v>
      </c>
      <c r="E121">
        <v>2</v>
      </c>
      <c r="F121" t="s">
        <v>31</v>
      </c>
      <c r="G121" t="s">
        <v>21</v>
      </c>
      <c r="H121" t="s">
        <v>15</v>
      </c>
      <c r="I121">
        <v>0</v>
      </c>
      <c r="J121" t="s">
        <v>22</v>
      </c>
      <c r="K121" t="s">
        <v>32</v>
      </c>
      <c r="L121">
        <v>34</v>
      </c>
      <c r="M121" t="s">
        <v>47</v>
      </c>
      <c r="N121" t="s">
        <v>15</v>
      </c>
    </row>
    <row r="122" spans="1:14" x14ac:dyDescent="0.35">
      <c r="A122">
        <v>22988</v>
      </c>
      <c r="B122" t="s">
        <v>36</v>
      </c>
      <c r="C122" t="s">
        <v>38</v>
      </c>
      <c r="D122">
        <v>40000</v>
      </c>
      <c r="E122">
        <v>2</v>
      </c>
      <c r="F122" t="s">
        <v>13</v>
      </c>
      <c r="G122" t="s">
        <v>28</v>
      </c>
      <c r="H122" t="s">
        <v>15</v>
      </c>
      <c r="I122">
        <v>2</v>
      </c>
      <c r="J122" t="s">
        <v>23</v>
      </c>
      <c r="K122" t="s">
        <v>24</v>
      </c>
      <c r="L122">
        <v>66</v>
      </c>
      <c r="M122" t="s">
        <v>48</v>
      </c>
      <c r="N122" t="s">
        <v>15</v>
      </c>
    </row>
    <row r="123" spans="1:14" x14ac:dyDescent="0.35">
      <c r="A123">
        <v>18580</v>
      </c>
      <c r="B123" t="s">
        <v>36</v>
      </c>
      <c r="C123" t="s">
        <v>38</v>
      </c>
      <c r="D123">
        <v>60000</v>
      </c>
      <c r="E123">
        <v>2</v>
      </c>
      <c r="F123" t="s">
        <v>31</v>
      </c>
      <c r="G123" t="s">
        <v>21</v>
      </c>
      <c r="H123" t="s">
        <v>15</v>
      </c>
      <c r="I123">
        <v>0</v>
      </c>
      <c r="J123" t="s">
        <v>22</v>
      </c>
      <c r="K123" t="s">
        <v>32</v>
      </c>
      <c r="L123">
        <v>40</v>
      </c>
      <c r="M123" t="s">
        <v>47</v>
      </c>
      <c r="N123" t="s">
        <v>15</v>
      </c>
    </row>
    <row r="124" spans="1:14" x14ac:dyDescent="0.35">
      <c r="A124">
        <v>14063</v>
      </c>
      <c r="B124" t="s">
        <v>37</v>
      </c>
      <c r="C124" t="s">
        <v>38</v>
      </c>
      <c r="D124">
        <v>70000</v>
      </c>
      <c r="E124">
        <v>0</v>
      </c>
      <c r="F124" t="s">
        <v>13</v>
      </c>
      <c r="G124" t="s">
        <v>21</v>
      </c>
      <c r="H124" t="s">
        <v>18</v>
      </c>
      <c r="I124">
        <v>1</v>
      </c>
      <c r="J124" t="s">
        <v>16</v>
      </c>
      <c r="K124" t="s">
        <v>24</v>
      </c>
      <c r="L124">
        <v>42</v>
      </c>
      <c r="M124" t="s">
        <v>47</v>
      </c>
      <c r="N124" t="s">
        <v>15</v>
      </c>
    </row>
    <row r="125" spans="1:14" x14ac:dyDescent="0.35">
      <c r="A125">
        <v>13453</v>
      </c>
      <c r="B125" t="s">
        <v>36</v>
      </c>
      <c r="C125" t="s">
        <v>38</v>
      </c>
      <c r="D125">
        <v>130000</v>
      </c>
      <c r="E125">
        <v>3</v>
      </c>
      <c r="F125" t="s">
        <v>13</v>
      </c>
      <c r="G125" t="s">
        <v>28</v>
      </c>
      <c r="H125" t="s">
        <v>15</v>
      </c>
      <c r="I125">
        <v>3</v>
      </c>
      <c r="J125" t="s">
        <v>16</v>
      </c>
      <c r="K125" t="s">
        <v>32</v>
      </c>
      <c r="L125">
        <v>45</v>
      </c>
      <c r="M125" t="s">
        <v>47</v>
      </c>
      <c r="N125" t="s">
        <v>15</v>
      </c>
    </row>
    <row r="126" spans="1:14" x14ac:dyDescent="0.35">
      <c r="A126">
        <v>27775</v>
      </c>
      <c r="B126" t="s">
        <v>37</v>
      </c>
      <c r="C126" t="s">
        <v>38</v>
      </c>
      <c r="D126">
        <v>40000</v>
      </c>
      <c r="E126">
        <v>0</v>
      </c>
      <c r="F126" t="s">
        <v>13</v>
      </c>
      <c r="G126" t="s">
        <v>20</v>
      </c>
      <c r="H126" t="s">
        <v>18</v>
      </c>
      <c r="I126">
        <v>0</v>
      </c>
      <c r="J126" t="s">
        <v>16</v>
      </c>
      <c r="K126" t="s">
        <v>17</v>
      </c>
      <c r="L126">
        <v>38</v>
      </c>
      <c r="M126" t="s">
        <v>47</v>
      </c>
      <c r="N126" t="s">
        <v>15</v>
      </c>
    </row>
    <row r="127" spans="1:14" x14ac:dyDescent="0.35">
      <c r="A127">
        <v>22294</v>
      </c>
      <c r="B127" t="s">
        <v>37</v>
      </c>
      <c r="C127" t="s">
        <v>38</v>
      </c>
      <c r="D127">
        <v>70000</v>
      </c>
      <c r="E127">
        <v>0</v>
      </c>
      <c r="F127" t="s">
        <v>13</v>
      </c>
      <c r="G127" t="s">
        <v>21</v>
      </c>
      <c r="H127" t="s">
        <v>18</v>
      </c>
      <c r="I127">
        <v>1</v>
      </c>
      <c r="J127" t="s">
        <v>22</v>
      </c>
      <c r="K127" t="s">
        <v>32</v>
      </c>
      <c r="L127">
        <v>37</v>
      </c>
      <c r="M127" t="s">
        <v>47</v>
      </c>
      <c r="N127" t="s">
        <v>15</v>
      </c>
    </row>
    <row r="128" spans="1:14" x14ac:dyDescent="0.35">
      <c r="A128">
        <v>14900</v>
      </c>
      <c r="B128" t="s">
        <v>36</v>
      </c>
      <c r="C128" t="s">
        <v>38</v>
      </c>
      <c r="D128">
        <v>40000</v>
      </c>
      <c r="E128">
        <v>1</v>
      </c>
      <c r="F128" t="s">
        <v>19</v>
      </c>
      <c r="G128" t="s">
        <v>20</v>
      </c>
      <c r="H128" t="s">
        <v>15</v>
      </c>
      <c r="I128">
        <v>1</v>
      </c>
      <c r="J128" t="s">
        <v>26</v>
      </c>
      <c r="K128" t="s">
        <v>32</v>
      </c>
      <c r="L128">
        <v>49</v>
      </c>
      <c r="M128" t="s">
        <v>47</v>
      </c>
      <c r="N128" t="s">
        <v>15</v>
      </c>
    </row>
    <row r="129" spans="1:14" x14ac:dyDescent="0.35">
      <c r="A129">
        <v>13907</v>
      </c>
      <c r="B129" t="s">
        <v>37</v>
      </c>
      <c r="C129" t="s">
        <v>38</v>
      </c>
      <c r="D129">
        <v>80000</v>
      </c>
      <c r="E129">
        <v>3</v>
      </c>
      <c r="F129" t="s">
        <v>13</v>
      </c>
      <c r="G129" t="s">
        <v>14</v>
      </c>
      <c r="H129" t="s">
        <v>15</v>
      </c>
      <c r="I129">
        <v>1</v>
      </c>
      <c r="J129" t="s">
        <v>16</v>
      </c>
      <c r="K129" t="s">
        <v>32</v>
      </c>
      <c r="L129">
        <v>41</v>
      </c>
      <c r="M129" t="s">
        <v>47</v>
      </c>
      <c r="N129" t="s">
        <v>15</v>
      </c>
    </row>
    <row r="130" spans="1:14" x14ac:dyDescent="0.35">
      <c r="A130">
        <v>29143</v>
      </c>
      <c r="B130" t="s">
        <v>37</v>
      </c>
      <c r="C130" t="s">
        <v>38</v>
      </c>
      <c r="D130">
        <v>60000</v>
      </c>
      <c r="E130">
        <v>1</v>
      </c>
      <c r="F130" t="s">
        <v>13</v>
      </c>
      <c r="G130" t="s">
        <v>21</v>
      </c>
      <c r="H130" t="s">
        <v>18</v>
      </c>
      <c r="I130">
        <v>1</v>
      </c>
      <c r="J130" t="s">
        <v>16</v>
      </c>
      <c r="K130" t="s">
        <v>32</v>
      </c>
      <c r="L130">
        <v>44</v>
      </c>
      <c r="M130" t="s">
        <v>47</v>
      </c>
      <c r="N130" t="s">
        <v>15</v>
      </c>
    </row>
    <row r="131" spans="1:14" x14ac:dyDescent="0.35">
      <c r="A131">
        <v>23586</v>
      </c>
      <c r="B131" t="s">
        <v>36</v>
      </c>
      <c r="C131" t="s">
        <v>38</v>
      </c>
      <c r="D131">
        <v>80000</v>
      </c>
      <c r="E131">
        <v>0</v>
      </c>
      <c r="F131" t="s">
        <v>13</v>
      </c>
      <c r="G131" t="s">
        <v>28</v>
      </c>
      <c r="H131" t="s">
        <v>15</v>
      </c>
      <c r="I131">
        <v>1</v>
      </c>
      <c r="J131" t="s">
        <v>26</v>
      </c>
      <c r="K131" t="s">
        <v>32</v>
      </c>
      <c r="L131">
        <v>34</v>
      </c>
      <c r="M131" t="s">
        <v>47</v>
      </c>
      <c r="N131" t="s">
        <v>15</v>
      </c>
    </row>
    <row r="132" spans="1:14" x14ac:dyDescent="0.35">
      <c r="A132">
        <v>13353</v>
      </c>
      <c r="B132" t="s">
        <v>37</v>
      </c>
      <c r="C132" t="s">
        <v>38</v>
      </c>
      <c r="D132">
        <v>60000</v>
      </c>
      <c r="E132">
        <v>4</v>
      </c>
      <c r="F132" t="s">
        <v>31</v>
      </c>
      <c r="G132" t="s">
        <v>28</v>
      </c>
      <c r="H132" t="s">
        <v>15</v>
      </c>
      <c r="I132">
        <v>2</v>
      </c>
      <c r="J132" t="s">
        <v>44</v>
      </c>
      <c r="K132" t="s">
        <v>32</v>
      </c>
      <c r="L132">
        <v>61</v>
      </c>
      <c r="M132" t="s">
        <v>48</v>
      </c>
      <c r="N132" t="s">
        <v>15</v>
      </c>
    </row>
    <row r="133" spans="1:14" x14ac:dyDescent="0.35">
      <c r="A133">
        <v>18052</v>
      </c>
      <c r="B133" t="s">
        <v>36</v>
      </c>
      <c r="C133" t="s">
        <v>38</v>
      </c>
      <c r="D133">
        <v>60000</v>
      </c>
      <c r="E133">
        <v>1</v>
      </c>
      <c r="F133" t="s">
        <v>19</v>
      </c>
      <c r="G133" t="s">
        <v>14</v>
      </c>
      <c r="H133" t="s">
        <v>15</v>
      </c>
      <c r="I133">
        <v>1</v>
      </c>
      <c r="J133" t="s">
        <v>16</v>
      </c>
      <c r="K133" t="s">
        <v>32</v>
      </c>
      <c r="L133">
        <v>45</v>
      </c>
      <c r="M133" t="s">
        <v>47</v>
      </c>
      <c r="N133" t="s">
        <v>15</v>
      </c>
    </row>
    <row r="134" spans="1:14" x14ac:dyDescent="0.35">
      <c r="A134">
        <v>24738</v>
      </c>
      <c r="B134" t="s">
        <v>36</v>
      </c>
      <c r="C134" t="s">
        <v>38</v>
      </c>
      <c r="D134">
        <v>40000</v>
      </c>
      <c r="E134">
        <v>1</v>
      </c>
      <c r="F134" t="s">
        <v>19</v>
      </c>
      <c r="G134" t="s">
        <v>20</v>
      </c>
      <c r="H134" t="s">
        <v>15</v>
      </c>
      <c r="I134">
        <v>1</v>
      </c>
      <c r="J134" t="s">
        <v>26</v>
      </c>
      <c r="K134" t="s">
        <v>32</v>
      </c>
      <c r="L134">
        <v>51</v>
      </c>
      <c r="M134" t="s">
        <v>47</v>
      </c>
      <c r="N134" t="s">
        <v>15</v>
      </c>
    </row>
    <row r="135" spans="1:14" x14ac:dyDescent="0.35">
      <c r="A135">
        <v>25074</v>
      </c>
      <c r="B135" t="s">
        <v>36</v>
      </c>
      <c r="C135" t="s">
        <v>38</v>
      </c>
      <c r="D135">
        <v>70000</v>
      </c>
      <c r="E135">
        <v>4</v>
      </c>
      <c r="F135" t="s">
        <v>13</v>
      </c>
      <c r="G135" t="s">
        <v>21</v>
      </c>
      <c r="H135" t="s">
        <v>15</v>
      </c>
      <c r="I135">
        <v>2</v>
      </c>
      <c r="J135" t="s">
        <v>22</v>
      </c>
      <c r="K135" t="s">
        <v>32</v>
      </c>
      <c r="L135">
        <v>42</v>
      </c>
      <c r="M135" t="s">
        <v>47</v>
      </c>
      <c r="N135" t="s">
        <v>15</v>
      </c>
    </row>
    <row r="136" spans="1:14" x14ac:dyDescent="0.35">
      <c r="A136">
        <v>20339</v>
      </c>
      <c r="B136" t="s">
        <v>36</v>
      </c>
      <c r="C136" t="s">
        <v>38</v>
      </c>
      <c r="D136">
        <v>130000</v>
      </c>
      <c r="E136">
        <v>1</v>
      </c>
      <c r="F136" t="s">
        <v>13</v>
      </c>
      <c r="G136" t="s">
        <v>28</v>
      </c>
      <c r="H136" t="s">
        <v>15</v>
      </c>
      <c r="I136">
        <v>4</v>
      </c>
      <c r="J136" t="s">
        <v>22</v>
      </c>
      <c r="K136" t="s">
        <v>32</v>
      </c>
      <c r="L136">
        <v>44</v>
      </c>
      <c r="M136" t="s">
        <v>47</v>
      </c>
      <c r="N136" t="s">
        <v>15</v>
      </c>
    </row>
    <row r="137" spans="1:14" x14ac:dyDescent="0.35">
      <c r="A137">
        <v>26575</v>
      </c>
      <c r="B137" t="s">
        <v>37</v>
      </c>
      <c r="C137" t="s">
        <v>38</v>
      </c>
      <c r="D137">
        <v>40000</v>
      </c>
      <c r="E137">
        <v>0</v>
      </c>
      <c r="F137" t="s">
        <v>27</v>
      </c>
      <c r="G137" t="s">
        <v>14</v>
      </c>
      <c r="H137" t="s">
        <v>18</v>
      </c>
      <c r="I137">
        <v>2</v>
      </c>
      <c r="J137" t="s">
        <v>26</v>
      </c>
      <c r="K137" t="s">
        <v>32</v>
      </c>
      <c r="L137">
        <v>31</v>
      </c>
      <c r="M137" t="s">
        <v>46</v>
      </c>
      <c r="N137" t="s">
        <v>15</v>
      </c>
    </row>
    <row r="138" spans="1:14" x14ac:dyDescent="0.35">
      <c r="A138">
        <v>28683</v>
      </c>
      <c r="B138" t="s">
        <v>37</v>
      </c>
      <c r="C138" t="s">
        <v>38</v>
      </c>
      <c r="D138">
        <v>10000</v>
      </c>
      <c r="E138">
        <v>1</v>
      </c>
      <c r="F138" t="s">
        <v>27</v>
      </c>
      <c r="G138" t="s">
        <v>25</v>
      </c>
      <c r="H138" t="s">
        <v>18</v>
      </c>
      <c r="I138">
        <v>1</v>
      </c>
      <c r="J138" t="s">
        <v>23</v>
      </c>
      <c r="K138" t="s">
        <v>17</v>
      </c>
      <c r="L138">
        <v>35</v>
      </c>
      <c r="M138" t="s">
        <v>47</v>
      </c>
      <c r="N138" t="s">
        <v>15</v>
      </c>
    </row>
    <row r="139" spans="1:14" x14ac:dyDescent="0.35">
      <c r="A139">
        <v>15302</v>
      </c>
      <c r="B139" t="s">
        <v>37</v>
      </c>
      <c r="C139" t="s">
        <v>38</v>
      </c>
      <c r="D139">
        <v>70000</v>
      </c>
      <c r="E139">
        <v>1</v>
      </c>
      <c r="F139" t="s">
        <v>31</v>
      </c>
      <c r="G139" t="s">
        <v>21</v>
      </c>
      <c r="H139" t="s">
        <v>15</v>
      </c>
      <c r="I139">
        <v>0</v>
      </c>
      <c r="J139" t="s">
        <v>22</v>
      </c>
      <c r="K139" t="s">
        <v>32</v>
      </c>
      <c r="L139">
        <v>34</v>
      </c>
      <c r="M139" t="s">
        <v>47</v>
      </c>
      <c r="N139" t="s">
        <v>15</v>
      </c>
    </row>
    <row r="140" spans="1:14" x14ac:dyDescent="0.35">
      <c r="A140">
        <v>24273</v>
      </c>
      <c r="B140" t="s">
        <v>36</v>
      </c>
      <c r="C140" t="s">
        <v>38</v>
      </c>
      <c r="D140">
        <v>20000</v>
      </c>
      <c r="E140">
        <v>2</v>
      </c>
      <c r="F140" t="s">
        <v>29</v>
      </c>
      <c r="G140" t="s">
        <v>20</v>
      </c>
      <c r="H140" t="s">
        <v>15</v>
      </c>
      <c r="I140">
        <v>2</v>
      </c>
      <c r="J140" t="s">
        <v>23</v>
      </c>
      <c r="K140" t="s">
        <v>24</v>
      </c>
      <c r="L140">
        <v>55</v>
      </c>
      <c r="M140" t="s">
        <v>48</v>
      </c>
      <c r="N140" t="s">
        <v>15</v>
      </c>
    </row>
    <row r="141" spans="1:14" x14ac:dyDescent="0.35">
      <c r="A141">
        <v>26547</v>
      </c>
      <c r="B141" t="s">
        <v>37</v>
      </c>
      <c r="C141" t="s">
        <v>38</v>
      </c>
      <c r="D141">
        <v>30000</v>
      </c>
      <c r="E141">
        <v>2</v>
      </c>
      <c r="F141" t="s">
        <v>19</v>
      </c>
      <c r="G141" t="s">
        <v>20</v>
      </c>
      <c r="H141" t="s">
        <v>18</v>
      </c>
      <c r="I141">
        <v>2</v>
      </c>
      <c r="J141" t="s">
        <v>23</v>
      </c>
      <c r="K141" t="s">
        <v>24</v>
      </c>
      <c r="L141">
        <v>60</v>
      </c>
      <c r="M141" t="s">
        <v>48</v>
      </c>
      <c r="N141" t="s">
        <v>15</v>
      </c>
    </row>
    <row r="142" spans="1:14" x14ac:dyDescent="0.35">
      <c r="A142">
        <v>20678</v>
      </c>
      <c r="B142" t="s">
        <v>37</v>
      </c>
      <c r="C142" t="s">
        <v>38</v>
      </c>
      <c r="D142">
        <v>60000</v>
      </c>
      <c r="E142">
        <v>3</v>
      </c>
      <c r="F142" t="s">
        <v>13</v>
      </c>
      <c r="G142" t="s">
        <v>14</v>
      </c>
      <c r="H142" t="s">
        <v>15</v>
      </c>
      <c r="I142">
        <v>1</v>
      </c>
      <c r="J142" t="s">
        <v>22</v>
      </c>
      <c r="K142" t="s">
        <v>32</v>
      </c>
      <c r="L142">
        <v>40</v>
      </c>
      <c r="M142" t="s">
        <v>47</v>
      </c>
      <c r="N142" t="s">
        <v>15</v>
      </c>
    </row>
    <row r="143" spans="1:14" x14ac:dyDescent="0.35">
      <c r="A143">
        <v>23993</v>
      </c>
      <c r="B143" t="s">
        <v>37</v>
      </c>
      <c r="C143" t="s">
        <v>38</v>
      </c>
      <c r="D143">
        <v>10000</v>
      </c>
      <c r="E143">
        <v>0</v>
      </c>
      <c r="F143" t="s">
        <v>19</v>
      </c>
      <c r="G143" t="s">
        <v>25</v>
      </c>
      <c r="H143" t="s">
        <v>18</v>
      </c>
      <c r="I143">
        <v>1</v>
      </c>
      <c r="J143" t="s">
        <v>16</v>
      </c>
      <c r="K143" t="s">
        <v>24</v>
      </c>
      <c r="L143">
        <v>26</v>
      </c>
      <c r="M143" t="s">
        <v>46</v>
      </c>
      <c r="N143" t="s">
        <v>15</v>
      </c>
    </row>
    <row r="144" spans="1:14" x14ac:dyDescent="0.35">
      <c r="A144">
        <v>26238</v>
      </c>
      <c r="B144" t="s">
        <v>37</v>
      </c>
      <c r="C144" t="s">
        <v>38</v>
      </c>
      <c r="D144">
        <v>40000</v>
      </c>
      <c r="E144">
        <v>3</v>
      </c>
      <c r="F144" t="s">
        <v>19</v>
      </c>
      <c r="G144" t="s">
        <v>20</v>
      </c>
      <c r="H144" t="s">
        <v>15</v>
      </c>
      <c r="I144">
        <v>1</v>
      </c>
      <c r="J144" t="s">
        <v>26</v>
      </c>
      <c r="K144" t="s">
        <v>32</v>
      </c>
      <c r="L144">
        <v>31</v>
      </c>
      <c r="M144" t="s">
        <v>46</v>
      </c>
      <c r="N144" t="s">
        <v>15</v>
      </c>
    </row>
    <row r="145" spans="1:14" x14ac:dyDescent="0.35">
      <c r="A145">
        <v>25681</v>
      </c>
      <c r="B145" t="s">
        <v>37</v>
      </c>
      <c r="C145" t="s">
        <v>38</v>
      </c>
      <c r="D145">
        <v>30000</v>
      </c>
      <c r="E145">
        <v>0</v>
      </c>
      <c r="F145" t="s">
        <v>19</v>
      </c>
      <c r="G145" t="s">
        <v>20</v>
      </c>
      <c r="H145" t="s">
        <v>18</v>
      </c>
      <c r="I145">
        <v>1</v>
      </c>
      <c r="J145" t="s">
        <v>22</v>
      </c>
      <c r="K145" t="s">
        <v>17</v>
      </c>
      <c r="L145">
        <v>31</v>
      </c>
      <c r="M145" t="s">
        <v>46</v>
      </c>
      <c r="N145" t="s">
        <v>15</v>
      </c>
    </row>
    <row r="146" spans="1:14" x14ac:dyDescent="0.35">
      <c r="A146">
        <v>28564</v>
      </c>
      <c r="B146" t="s">
        <v>37</v>
      </c>
      <c r="C146" t="s">
        <v>38</v>
      </c>
      <c r="D146">
        <v>40000</v>
      </c>
      <c r="E146">
        <v>2</v>
      </c>
      <c r="F146" t="s">
        <v>19</v>
      </c>
      <c r="G146" t="s">
        <v>20</v>
      </c>
      <c r="H146" t="s">
        <v>15</v>
      </c>
      <c r="I146">
        <v>0</v>
      </c>
      <c r="J146" t="s">
        <v>26</v>
      </c>
      <c r="K146" t="s">
        <v>17</v>
      </c>
      <c r="L146">
        <v>33</v>
      </c>
      <c r="M146" t="s">
        <v>47</v>
      </c>
      <c r="N146" t="s">
        <v>15</v>
      </c>
    </row>
    <row r="147" spans="1:14" x14ac:dyDescent="0.35">
      <c r="A147">
        <v>21974</v>
      </c>
      <c r="B147" t="s">
        <v>37</v>
      </c>
      <c r="C147" t="s">
        <v>38</v>
      </c>
      <c r="D147">
        <v>70000</v>
      </c>
      <c r="E147">
        <v>0</v>
      </c>
      <c r="F147" t="s">
        <v>13</v>
      </c>
      <c r="G147" t="s">
        <v>21</v>
      </c>
      <c r="H147" t="s">
        <v>15</v>
      </c>
      <c r="I147">
        <v>1</v>
      </c>
      <c r="J147" t="s">
        <v>23</v>
      </c>
      <c r="K147" t="s">
        <v>24</v>
      </c>
      <c r="L147">
        <v>42</v>
      </c>
      <c r="M147" t="s">
        <v>47</v>
      </c>
      <c r="N147" t="s">
        <v>15</v>
      </c>
    </row>
    <row r="148" spans="1:14" x14ac:dyDescent="0.35">
      <c r="A148">
        <v>27585</v>
      </c>
      <c r="B148" t="s">
        <v>36</v>
      </c>
      <c r="C148" t="s">
        <v>38</v>
      </c>
      <c r="D148">
        <v>90000</v>
      </c>
      <c r="E148">
        <v>2</v>
      </c>
      <c r="F148" t="s">
        <v>13</v>
      </c>
      <c r="G148" t="s">
        <v>21</v>
      </c>
      <c r="H148" t="s">
        <v>18</v>
      </c>
      <c r="I148">
        <v>0</v>
      </c>
      <c r="J148" t="s">
        <v>16</v>
      </c>
      <c r="K148" t="s">
        <v>24</v>
      </c>
      <c r="L148">
        <v>36</v>
      </c>
      <c r="M148" t="s">
        <v>47</v>
      </c>
      <c r="N148" t="s">
        <v>15</v>
      </c>
    </row>
    <row r="149" spans="1:14" x14ac:dyDescent="0.35">
      <c r="A149">
        <v>19475</v>
      </c>
      <c r="B149" t="s">
        <v>36</v>
      </c>
      <c r="C149" t="s">
        <v>38</v>
      </c>
      <c r="D149">
        <v>40000</v>
      </c>
      <c r="E149">
        <v>0</v>
      </c>
      <c r="F149" t="s">
        <v>13</v>
      </c>
      <c r="G149" t="s">
        <v>21</v>
      </c>
      <c r="H149" t="s">
        <v>18</v>
      </c>
      <c r="I149">
        <v>0</v>
      </c>
      <c r="J149" t="s">
        <v>16</v>
      </c>
      <c r="K149" t="s">
        <v>17</v>
      </c>
      <c r="L149">
        <v>40</v>
      </c>
      <c r="M149" t="s">
        <v>47</v>
      </c>
      <c r="N149" t="s">
        <v>15</v>
      </c>
    </row>
    <row r="150" spans="1:14" x14ac:dyDescent="0.35">
      <c r="A150">
        <v>15665</v>
      </c>
      <c r="B150" t="s">
        <v>36</v>
      </c>
      <c r="C150" t="s">
        <v>38</v>
      </c>
      <c r="D150">
        <v>30000</v>
      </c>
      <c r="E150">
        <v>0</v>
      </c>
      <c r="F150" t="s">
        <v>13</v>
      </c>
      <c r="G150" t="s">
        <v>20</v>
      </c>
      <c r="H150" t="s">
        <v>15</v>
      </c>
      <c r="I150">
        <v>0</v>
      </c>
      <c r="J150" t="s">
        <v>16</v>
      </c>
      <c r="K150" t="s">
        <v>17</v>
      </c>
      <c r="L150">
        <v>47</v>
      </c>
      <c r="M150" t="s">
        <v>47</v>
      </c>
      <c r="N150" t="s">
        <v>15</v>
      </c>
    </row>
    <row r="151" spans="1:14" x14ac:dyDescent="0.35">
      <c r="A151">
        <v>22634</v>
      </c>
      <c r="B151" t="s">
        <v>37</v>
      </c>
      <c r="C151" t="s">
        <v>38</v>
      </c>
      <c r="D151">
        <v>40000</v>
      </c>
      <c r="E151">
        <v>0</v>
      </c>
      <c r="F151" t="s">
        <v>31</v>
      </c>
      <c r="G151" t="s">
        <v>20</v>
      </c>
      <c r="H151" t="s">
        <v>15</v>
      </c>
      <c r="I151">
        <v>0</v>
      </c>
      <c r="J151" t="s">
        <v>16</v>
      </c>
      <c r="K151" t="s">
        <v>17</v>
      </c>
      <c r="L151">
        <v>38</v>
      </c>
      <c r="M151" t="s">
        <v>47</v>
      </c>
      <c r="N151" t="s">
        <v>15</v>
      </c>
    </row>
    <row r="152" spans="1:14" x14ac:dyDescent="0.35">
      <c r="A152">
        <v>16549</v>
      </c>
      <c r="B152" t="s">
        <v>37</v>
      </c>
      <c r="C152" t="s">
        <v>38</v>
      </c>
      <c r="D152">
        <v>30000</v>
      </c>
      <c r="E152">
        <v>3</v>
      </c>
      <c r="F152" t="s">
        <v>13</v>
      </c>
      <c r="G152" t="s">
        <v>20</v>
      </c>
      <c r="H152" t="s">
        <v>15</v>
      </c>
      <c r="I152">
        <v>0</v>
      </c>
      <c r="J152" t="s">
        <v>16</v>
      </c>
      <c r="K152" t="s">
        <v>17</v>
      </c>
      <c r="L152">
        <v>47</v>
      </c>
      <c r="M152" t="s">
        <v>47</v>
      </c>
      <c r="N152" t="s">
        <v>15</v>
      </c>
    </row>
    <row r="153" spans="1:14" x14ac:dyDescent="0.35">
      <c r="A153">
        <v>17754</v>
      </c>
      <c r="B153" t="s">
        <v>37</v>
      </c>
      <c r="C153" t="s">
        <v>38</v>
      </c>
      <c r="D153">
        <v>30000</v>
      </c>
      <c r="E153">
        <v>3</v>
      </c>
      <c r="F153" t="s">
        <v>13</v>
      </c>
      <c r="G153" t="s">
        <v>20</v>
      </c>
      <c r="H153" t="s">
        <v>15</v>
      </c>
      <c r="I153">
        <v>0</v>
      </c>
      <c r="J153" t="s">
        <v>16</v>
      </c>
      <c r="K153" t="s">
        <v>17</v>
      </c>
      <c r="L153">
        <v>46</v>
      </c>
      <c r="M153" t="s">
        <v>47</v>
      </c>
      <c r="N153" t="s">
        <v>15</v>
      </c>
    </row>
    <row r="154" spans="1:14" x14ac:dyDescent="0.35">
      <c r="A154">
        <v>14791</v>
      </c>
      <c r="B154" t="s">
        <v>36</v>
      </c>
      <c r="C154" t="s">
        <v>38</v>
      </c>
      <c r="D154">
        <v>40000</v>
      </c>
      <c r="E154">
        <v>0</v>
      </c>
      <c r="F154" t="s">
        <v>13</v>
      </c>
      <c r="G154" t="s">
        <v>20</v>
      </c>
      <c r="H154" t="s">
        <v>15</v>
      </c>
      <c r="I154">
        <v>0</v>
      </c>
      <c r="J154" t="s">
        <v>16</v>
      </c>
      <c r="K154" t="s">
        <v>17</v>
      </c>
      <c r="L154">
        <v>39</v>
      </c>
      <c r="M154" t="s">
        <v>47</v>
      </c>
      <c r="N154" t="s">
        <v>15</v>
      </c>
    </row>
    <row r="155" spans="1:14" x14ac:dyDescent="0.35">
      <c r="A155">
        <v>13089</v>
      </c>
      <c r="B155" t="s">
        <v>36</v>
      </c>
      <c r="C155" t="s">
        <v>38</v>
      </c>
      <c r="D155">
        <v>120000</v>
      </c>
      <c r="E155">
        <v>1</v>
      </c>
      <c r="F155" t="s">
        <v>13</v>
      </c>
      <c r="G155" t="s">
        <v>28</v>
      </c>
      <c r="H155" t="s">
        <v>15</v>
      </c>
      <c r="I155">
        <v>2</v>
      </c>
      <c r="J155" t="s">
        <v>16</v>
      </c>
      <c r="K155" t="s">
        <v>24</v>
      </c>
      <c r="L155">
        <v>46</v>
      </c>
      <c r="M155" t="s">
        <v>47</v>
      </c>
      <c r="N155" t="s">
        <v>15</v>
      </c>
    </row>
    <row r="156" spans="1:14" x14ac:dyDescent="0.35">
      <c r="A156">
        <v>13585</v>
      </c>
      <c r="B156" t="s">
        <v>36</v>
      </c>
      <c r="C156" t="s">
        <v>38</v>
      </c>
      <c r="D156">
        <v>80000</v>
      </c>
      <c r="E156">
        <v>4</v>
      </c>
      <c r="F156" t="s">
        <v>19</v>
      </c>
      <c r="G156" t="s">
        <v>21</v>
      </c>
      <c r="H156" t="s">
        <v>18</v>
      </c>
      <c r="I156">
        <v>1</v>
      </c>
      <c r="J156" t="s">
        <v>22</v>
      </c>
      <c r="K156" t="s">
        <v>17</v>
      </c>
      <c r="L156">
        <v>53</v>
      </c>
      <c r="M156" t="s">
        <v>47</v>
      </c>
      <c r="N156" t="s">
        <v>15</v>
      </c>
    </row>
    <row r="157" spans="1:14" x14ac:dyDescent="0.35">
      <c r="A157">
        <v>14798</v>
      </c>
      <c r="B157" t="s">
        <v>37</v>
      </c>
      <c r="C157" t="s">
        <v>38</v>
      </c>
      <c r="D157">
        <v>10000</v>
      </c>
      <c r="E157">
        <v>4</v>
      </c>
      <c r="F157" t="s">
        <v>29</v>
      </c>
      <c r="G157" t="s">
        <v>25</v>
      </c>
      <c r="H157" t="s">
        <v>15</v>
      </c>
      <c r="I157">
        <v>2</v>
      </c>
      <c r="J157" t="s">
        <v>16</v>
      </c>
      <c r="K157" t="s">
        <v>17</v>
      </c>
      <c r="L157">
        <v>41</v>
      </c>
      <c r="M157" t="s">
        <v>47</v>
      </c>
      <c r="N157" t="s">
        <v>15</v>
      </c>
    </row>
    <row r="158" spans="1:14" x14ac:dyDescent="0.35">
      <c r="A158">
        <v>16559</v>
      </c>
      <c r="B158" t="s">
        <v>37</v>
      </c>
      <c r="C158" t="s">
        <v>38</v>
      </c>
      <c r="D158">
        <v>10000</v>
      </c>
      <c r="E158">
        <v>2</v>
      </c>
      <c r="F158" t="s">
        <v>27</v>
      </c>
      <c r="G158" t="s">
        <v>25</v>
      </c>
      <c r="H158" t="s">
        <v>15</v>
      </c>
      <c r="I158">
        <v>0</v>
      </c>
      <c r="J158" t="s">
        <v>16</v>
      </c>
      <c r="K158" t="s">
        <v>17</v>
      </c>
      <c r="L158">
        <v>36</v>
      </c>
      <c r="M158" t="s">
        <v>47</v>
      </c>
      <c r="N158" t="s">
        <v>15</v>
      </c>
    </row>
    <row r="159" spans="1:14" x14ac:dyDescent="0.35">
      <c r="A159">
        <v>20711</v>
      </c>
      <c r="B159" t="s">
        <v>36</v>
      </c>
      <c r="C159" t="s">
        <v>38</v>
      </c>
      <c r="D159">
        <v>40000</v>
      </c>
      <c r="E159">
        <v>1</v>
      </c>
      <c r="F159" t="s">
        <v>13</v>
      </c>
      <c r="G159" t="s">
        <v>14</v>
      </c>
      <c r="H159" t="s">
        <v>15</v>
      </c>
      <c r="I159">
        <v>0</v>
      </c>
      <c r="J159" t="s">
        <v>26</v>
      </c>
      <c r="K159" t="s">
        <v>17</v>
      </c>
      <c r="L159">
        <v>32</v>
      </c>
      <c r="M159" t="s">
        <v>47</v>
      </c>
      <c r="N159" t="s">
        <v>15</v>
      </c>
    </row>
    <row r="160" spans="1:14" x14ac:dyDescent="0.35">
      <c r="A160">
        <v>25605</v>
      </c>
      <c r="B160" t="s">
        <v>37</v>
      </c>
      <c r="C160" t="s">
        <v>38</v>
      </c>
      <c r="D160">
        <v>20000</v>
      </c>
      <c r="E160">
        <v>2</v>
      </c>
      <c r="F160" t="s">
        <v>19</v>
      </c>
      <c r="G160" t="s">
        <v>25</v>
      </c>
      <c r="H160" t="s">
        <v>18</v>
      </c>
      <c r="I160">
        <v>1</v>
      </c>
      <c r="J160" t="s">
        <v>16</v>
      </c>
      <c r="K160" t="s">
        <v>17</v>
      </c>
      <c r="L160">
        <v>54</v>
      </c>
      <c r="M160" t="s">
        <v>48</v>
      </c>
      <c r="N160" t="s">
        <v>15</v>
      </c>
    </row>
    <row r="161" spans="1:14" x14ac:dyDescent="0.35">
      <c r="A161">
        <v>25307</v>
      </c>
      <c r="B161" t="s">
        <v>36</v>
      </c>
      <c r="C161" t="s">
        <v>38</v>
      </c>
      <c r="D161">
        <v>40000</v>
      </c>
      <c r="E161">
        <v>1</v>
      </c>
      <c r="F161" t="s">
        <v>13</v>
      </c>
      <c r="G161" t="s">
        <v>14</v>
      </c>
      <c r="H161" t="s">
        <v>15</v>
      </c>
      <c r="I161">
        <v>1</v>
      </c>
      <c r="J161" t="s">
        <v>26</v>
      </c>
      <c r="K161" t="s">
        <v>17</v>
      </c>
      <c r="L161">
        <v>32</v>
      </c>
      <c r="M161" t="s">
        <v>47</v>
      </c>
      <c r="N161" t="s">
        <v>15</v>
      </c>
    </row>
    <row r="162" spans="1:14" x14ac:dyDescent="0.35">
      <c r="A162">
        <v>21980</v>
      </c>
      <c r="B162" t="s">
        <v>37</v>
      </c>
      <c r="C162" t="s">
        <v>38</v>
      </c>
      <c r="D162">
        <v>60000</v>
      </c>
      <c r="E162">
        <v>1</v>
      </c>
      <c r="F162" t="s">
        <v>13</v>
      </c>
      <c r="G162" t="s">
        <v>21</v>
      </c>
      <c r="H162" t="s">
        <v>15</v>
      </c>
      <c r="I162">
        <v>1</v>
      </c>
      <c r="J162" t="s">
        <v>23</v>
      </c>
      <c r="K162" t="s">
        <v>24</v>
      </c>
      <c r="L162">
        <v>44</v>
      </c>
      <c r="M162" t="s">
        <v>47</v>
      </c>
      <c r="N162" t="s">
        <v>15</v>
      </c>
    </row>
    <row r="163" spans="1:14" x14ac:dyDescent="0.35">
      <c r="A163">
        <v>25460</v>
      </c>
      <c r="B163" t="s">
        <v>36</v>
      </c>
      <c r="C163" t="s">
        <v>38</v>
      </c>
      <c r="D163">
        <v>20000</v>
      </c>
      <c r="E163">
        <v>2</v>
      </c>
      <c r="F163" t="s">
        <v>27</v>
      </c>
      <c r="G163" t="s">
        <v>25</v>
      </c>
      <c r="H163" t="s">
        <v>15</v>
      </c>
      <c r="I163">
        <v>0</v>
      </c>
      <c r="J163" t="s">
        <v>16</v>
      </c>
      <c r="K163" t="s">
        <v>17</v>
      </c>
      <c r="L163">
        <v>40</v>
      </c>
      <c r="M163" t="s">
        <v>47</v>
      </c>
      <c r="N163" t="s">
        <v>15</v>
      </c>
    </row>
    <row r="164" spans="1:14" x14ac:dyDescent="0.35">
      <c r="A164">
        <v>29181</v>
      </c>
      <c r="B164" t="s">
        <v>37</v>
      </c>
      <c r="C164" t="s">
        <v>38</v>
      </c>
      <c r="D164">
        <v>60000</v>
      </c>
      <c r="E164">
        <v>2</v>
      </c>
      <c r="F164" t="s">
        <v>13</v>
      </c>
      <c r="G164" t="s">
        <v>21</v>
      </c>
      <c r="H164" t="s">
        <v>18</v>
      </c>
      <c r="I164">
        <v>1</v>
      </c>
      <c r="J164" t="s">
        <v>16</v>
      </c>
      <c r="K164" t="s">
        <v>24</v>
      </c>
      <c r="L164">
        <v>38</v>
      </c>
      <c r="M164" t="s">
        <v>47</v>
      </c>
      <c r="N164" t="s">
        <v>15</v>
      </c>
    </row>
    <row r="165" spans="1:14" x14ac:dyDescent="0.35">
      <c r="A165">
        <v>21108</v>
      </c>
      <c r="B165" t="s">
        <v>36</v>
      </c>
      <c r="C165" t="s">
        <v>38</v>
      </c>
      <c r="D165">
        <v>40000</v>
      </c>
      <c r="E165">
        <v>1</v>
      </c>
      <c r="F165" t="s">
        <v>13</v>
      </c>
      <c r="G165" t="s">
        <v>14</v>
      </c>
      <c r="H165" t="s">
        <v>15</v>
      </c>
      <c r="I165">
        <v>1</v>
      </c>
      <c r="J165" t="s">
        <v>16</v>
      </c>
      <c r="K165" t="s">
        <v>17</v>
      </c>
      <c r="L165">
        <v>43</v>
      </c>
      <c r="M165" t="s">
        <v>47</v>
      </c>
      <c r="N165" t="s">
        <v>15</v>
      </c>
    </row>
    <row r="166" spans="1:14" x14ac:dyDescent="0.35">
      <c r="A166">
        <v>24093</v>
      </c>
      <c r="B166" t="s">
        <v>37</v>
      </c>
      <c r="C166" t="s">
        <v>38</v>
      </c>
      <c r="D166">
        <v>80000</v>
      </c>
      <c r="E166">
        <v>0</v>
      </c>
      <c r="F166" t="s">
        <v>31</v>
      </c>
      <c r="G166" t="s">
        <v>14</v>
      </c>
      <c r="H166" t="s">
        <v>18</v>
      </c>
      <c r="I166">
        <v>0</v>
      </c>
      <c r="J166" t="s">
        <v>16</v>
      </c>
      <c r="K166" t="s">
        <v>17</v>
      </c>
      <c r="L166">
        <v>40</v>
      </c>
      <c r="M166" t="s">
        <v>47</v>
      </c>
      <c r="N166" t="s">
        <v>15</v>
      </c>
    </row>
    <row r="167" spans="1:14" x14ac:dyDescent="0.35">
      <c r="A167">
        <v>27824</v>
      </c>
      <c r="B167" t="s">
        <v>37</v>
      </c>
      <c r="C167" t="s">
        <v>38</v>
      </c>
      <c r="D167">
        <v>30000</v>
      </c>
      <c r="E167">
        <v>3</v>
      </c>
      <c r="F167" t="s">
        <v>19</v>
      </c>
      <c r="G167" t="s">
        <v>20</v>
      </c>
      <c r="H167" t="s">
        <v>15</v>
      </c>
      <c r="I167">
        <v>2</v>
      </c>
      <c r="J167" t="s">
        <v>16</v>
      </c>
      <c r="K167" t="s">
        <v>17</v>
      </c>
      <c r="L167">
        <v>28</v>
      </c>
      <c r="M167" t="s">
        <v>46</v>
      </c>
      <c r="N167" t="s">
        <v>15</v>
      </c>
    </row>
    <row r="168" spans="1:14" x14ac:dyDescent="0.35">
      <c r="A168">
        <v>19784</v>
      </c>
      <c r="B168" t="s">
        <v>36</v>
      </c>
      <c r="C168" t="s">
        <v>38</v>
      </c>
      <c r="D168">
        <v>80000</v>
      </c>
      <c r="E168">
        <v>2</v>
      </c>
      <c r="F168" t="s">
        <v>27</v>
      </c>
      <c r="G168" t="s">
        <v>14</v>
      </c>
      <c r="H168" t="s">
        <v>15</v>
      </c>
      <c r="I168">
        <v>2</v>
      </c>
      <c r="J168" t="s">
        <v>23</v>
      </c>
      <c r="K168" t="s">
        <v>24</v>
      </c>
      <c r="L168">
        <v>50</v>
      </c>
      <c r="M168" t="s">
        <v>47</v>
      </c>
      <c r="N168" t="s">
        <v>15</v>
      </c>
    </row>
    <row r="169" spans="1:14" x14ac:dyDescent="0.35">
      <c r="A169">
        <v>22175</v>
      </c>
      <c r="B169" t="s">
        <v>36</v>
      </c>
      <c r="C169" t="s">
        <v>38</v>
      </c>
      <c r="D169">
        <v>30000</v>
      </c>
      <c r="E169">
        <v>3</v>
      </c>
      <c r="F169" t="s">
        <v>27</v>
      </c>
      <c r="G169" t="s">
        <v>14</v>
      </c>
      <c r="H169" t="s">
        <v>15</v>
      </c>
      <c r="I169">
        <v>2</v>
      </c>
      <c r="J169" t="s">
        <v>23</v>
      </c>
      <c r="K169" t="s">
        <v>24</v>
      </c>
      <c r="L169">
        <v>53</v>
      </c>
      <c r="M169" t="s">
        <v>47</v>
      </c>
      <c r="N169" t="s">
        <v>15</v>
      </c>
    </row>
    <row r="170" spans="1:14" x14ac:dyDescent="0.35">
      <c r="A170">
        <v>21891</v>
      </c>
      <c r="B170" t="s">
        <v>36</v>
      </c>
      <c r="C170" t="s">
        <v>38</v>
      </c>
      <c r="D170">
        <v>110000</v>
      </c>
      <c r="E170">
        <v>0</v>
      </c>
      <c r="F170" t="s">
        <v>27</v>
      </c>
      <c r="G170" t="s">
        <v>28</v>
      </c>
      <c r="H170" t="s">
        <v>15</v>
      </c>
      <c r="I170">
        <v>3</v>
      </c>
      <c r="J170" t="s">
        <v>44</v>
      </c>
      <c r="K170" t="s">
        <v>24</v>
      </c>
      <c r="L170">
        <v>34</v>
      </c>
      <c r="M170" t="s">
        <v>47</v>
      </c>
      <c r="N170" t="s">
        <v>15</v>
      </c>
    </row>
    <row r="171" spans="1:14" x14ac:dyDescent="0.35">
      <c r="A171">
        <v>17048</v>
      </c>
      <c r="B171" t="s">
        <v>37</v>
      </c>
      <c r="C171" t="s">
        <v>38</v>
      </c>
      <c r="D171">
        <v>90000</v>
      </c>
      <c r="E171">
        <v>1</v>
      </c>
      <c r="F171" t="s">
        <v>31</v>
      </c>
      <c r="G171" t="s">
        <v>28</v>
      </c>
      <c r="H171" t="s">
        <v>15</v>
      </c>
      <c r="I171">
        <v>0</v>
      </c>
      <c r="J171" t="s">
        <v>16</v>
      </c>
      <c r="K171" t="s">
        <v>24</v>
      </c>
      <c r="L171">
        <v>36</v>
      </c>
      <c r="M171" t="s">
        <v>47</v>
      </c>
      <c r="N171" t="s">
        <v>15</v>
      </c>
    </row>
    <row r="172" spans="1:14" x14ac:dyDescent="0.35">
      <c r="A172">
        <v>17203</v>
      </c>
      <c r="B172" t="s">
        <v>36</v>
      </c>
      <c r="C172" t="s">
        <v>38</v>
      </c>
      <c r="D172">
        <v>130000</v>
      </c>
      <c r="E172">
        <v>4</v>
      </c>
      <c r="F172" t="s">
        <v>19</v>
      </c>
      <c r="G172" t="s">
        <v>21</v>
      </c>
      <c r="H172" t="s">
        <v>15</v>
      </c>
      <c r="I172">
        <v>4</v>
      </c>
      <c r="J172" t="s">
        <v>23</v>
      </c>
      <c r="K172" t="s">
        <v>17</v>
      </c>
      <c r="L172">
        <v>61</v>
      </c>
      <c r="M172" t="s">
        <v>48</v>
      </c>
      <c r="N172" t="s">
        <v>15</v>
      </c>
    </row>
    <row r="173" spans="1:14" x14ac:dyDescent="0.35">
      <c r="A173">
        <v>17960</v>
      </c>
      <c r="B173" t="s">
        <v>36</v>
      </c>
      <c r="C173" t="s">
        <v>38</v>
      </c>
      <c r="D173">
        <v>40000</v>
      </c>
      <c r="E173">
        <v>0</v>
      </c>
      <c r="F173" t="s">
        <v>31</v>
      </c>
      <c r="G173" t="s">
        <v>20</v>
      </c>
      <c r="H173" t="s">
        <v>15</v>
      </c>
      <c r="I173">
        <v>0</v>
      </c>
      <c r="J173" t="s">
        <v>16</v>
      </c>
      <c r="K173" t="s">
        <v>17</v>
      </c>
      <c r="L173">
        <v>35</v>
      </c>
      <c r="M173" t="s">
        <v>47</v>
      </c>
      <c r="N173" t="s">
        <v>15</v>
      </c>
    </row>
    <row r="174" spans="1:14" x14ac:dyDescent="0.35">
      <c r="A174">
        <v>20171</v>
      </c>
      <c r="B174" t="s">
        <v>36</v>
      </c>
      <c r="C174" t="s">
        <v>38</v>
      </c>
      <c r="D174">
        <v>20000</v>
      </c>
      <c r="E174">
        <v>2</v>
      </c>
      <c r="F174" t="s">
        <v>19</v>
      </c>
      <c r="G174" t="s">
        <v>25</v>
      </c>
      <c r="H174" t="s">
        <v>15</v>
      </c>
      <c r="I174">
        <v>1</v>
      </c>
      <c r="J174" t="s">
        <v>16</v>
      </c>
      <c r="K174" t="s">
        <v>17</v>
      </c>
      <c r="L174">
        <v>46</v>
      </c>
      <c r="M174" t="s">
        <v>47</v>
      </c>
      <c r="N174" t="s">
        <v>15</v>
      </c>
    </row>
    <row r="175" spans="1:14" x14ac:dyDescent="0.35">
      <c r="A175">
        <v>27582</v>
      </c>
      <c r="B175" t="s">
        <v>37</v>
      </c>
      <c r="C175" t="s">
        <v>38</v>
      </c>
      <c r="D175">
        <v>90000</v>
      </c>
      <c r="E175">
        <v>2</v>
      </c>
      <c r="F175" t="s">
        <v>13</v>
      </c>
      <c r="G175" t="s">
        <v>21</v>
      </c>
      <c r="H175" t="s">
        <v>18</v>
      </c>
      <c r="I175">
        <v>0</v>
      </c>
      <c r="J175" t="s">
        <v>16</v>
      </c>
      <c r="K175" t="s">
        <v>24</v>
      </c>
      <c r="L175">
        <v>36</v>
      </c>
      <c r="M175" t="s">
        <v>47</v>
      </c>
      <c r="N175" t="s">
        <v>15</v>
      </c>
    </row>
    <row r="176" spans="1:14" x14ac:dyDescent="0.35">
      <c r="A176">
        <v>22439</v>
      </c>
      <c r="B176" t="s">
        <v>36</v>
      </c>
      <c r="C176" t="s">
        <v>38</v>
      </c>
      <c r="D176">
        <v>30000</v>
      </c>
      <c r="E176">
        <v>0</v>
      </c>
      <c r="F176" t="s">
        <v>13</v>
      </c>
      <c r="G176" t="s">
        <v>20</v>
      </c>
      <c r="H176" t="s">
        <v>15</v>
      </c>
      <c r="I176">
        <v>0</v>
      </c>
      <c r="J176" t="s">
        <v>16</v>
      </c>
      <c r="K176" t="s">
        <v>17</v>
      </c>
      <c r="L176">
        <v>37</v>
      </c>
      <c r="M176" t="s">
        <v>47</v>
      </c>
      <c r="N176" t="s">
        <v>15</v>
      </c>
    </row>
    <row r="177" spans="1:14" x14ac:dyDescent="0.35">
      <c r="A177">
        <v>17504</v>
      </c>
      <c r="B177" t="s">
        <v>37</v>
      </c>
      <c r="C177" t="s">
        <v>38</v>
      </c>
      <c r="D177">
        <v>80000</v>
      </c>
      <c r="E177">
        <v>2</v>
      </c>
      <c r="F177" t="s">
        <v>19</v>
      </c>
      <c r="G177" t="s">
        <v>14</v>
      </c>
      <c r="H177" t="s">
        <v>15</v>
      </c>
      <c r="I177">
        <v>2</v>
      </c>
      <c r="J177" t="s">
        <v>23</v>
      </c>
      <c r="K177" t="s">
        <v>24</v>
      </c>
      <c r="L177">
        <v>52</v>
      </c>
      <c r="M177" t="s">
        <v>47</v>
      </c>
      <c r="N177" t="s">
        <v>15</v>
      </c>
    </row>
    <row r="178" spans="1:14" x14ac:dyDescent="0.35">
      <c r="A178">
        <v>12253</v>
      </c>
      <c r="B178" t="s">
        <v>37</v>
      </c>
      <c r="C178" t="s">
        <v>38</v>
      </c>
      <c r="D178">
        <v>20000</v>
      </c>
      <c r="E178">
        <v>0</v>
      </c>
      <c r="F178" t="s">
        <v>19</v>
      </c>
      <c r="G178" t="s">
        <v>25</v>
      </c>
      <c r="H178" t="s">
        <v>15</v>
      </c>
      <c r="I178">
        <v>0</v>
      </c>
      <c r="J178" t="s">
        <v>16</v>
      </c>
      <c r="K178" t="s">
        <v>24</v>
      </c>
      <c r="L178">
        <v>29</v>
      </c>
      <c r="M178" t="s">
        <v>46</v>
      </c>
      <c r="N178" t="s">
        <v>15</v>
      </c>
    </row>
    <row r="179" spans="1:14" x14ac:dyDescent="0.35">
      <c r="A179">
        <v>26167</v>
      </c>
      <c r="B179" t="s">
        <v>37</v>
      </c>
      <c r="C179" t="s">
        <v>38</v>
      </c>
      <c r="D179">
        <v>40000</v>
      </c>
      <c r="E179">
        <v>2</v>
      </c>
      <c r="F179" t="s">
        <v>13</v>
      </c>
      <c r="G179" t="s">
        <v>28</v>
      </c>
      <c r="H179" t="s">
        <v>18</v>
      </c>
      <c r="I179">
        <v>1</v>
      </c>
      <c r="J179" t="s">
        <v>23</v>
      </c>
      <c r="K179" t="s">
        <v>24</v>
      </c>
      <c r="L179">
        <v>53</v>
      </c>
      <c r="M179" t="s">
        <v>47</v>
      </c>
      <c r="N179" t="s">
        <v>15</v>
      </c>
    </row>
    <row r="180" spans="1:14" x14ac:dyDescent="0.35">
      <c r="A180">
        <v>17793</v>
      </c>
      <c r="B180" t="s">
        <v>36</v>
      </c>
      <c r="C180" t="s">
        <v>38</v>
      </c>
      <c r="D180">
        <v>40000</v>
      </c>
      <c r="E180">
        <v>0</v>
      </c>
      <c r="F180" t="s">
        <v>13</v>
      </c>
      <c r="G180" t="s">
        <v>20</v>
      </c>
      <c r="H180" t="s">
        <v>15</v>
      </c>
      <c r="I180">
        <v>0</v>
      </c>
      <c r="J180" t="s">
        <v>16</v>
      </c>
      <c r="K180" t="s">
        <v>17</v>
      </c>
      <c r="L180">
        <v>38</v>
      </c>
      <c r="M180" t="s">
        <v>47</v>
      </c>
      <c r="N180" t="s">
        <v>15</v>
      </c>
    </row>
    <row r="181" spans="1:14" x14ac:dyDescent="0.35">
      <c r="A181">
        <v>12212</v>
      </c>
      <c r="B181" t="s">
        <v>36</v>
      </c>
      <c r="C181" t="s">
        <v>38</v>
      </c>
      <c r="D181">
        <v>10000</v>
      </c>
      <c r="E181">
        <v>0</v>
      </c>
      <c r="F181" t="s">
        <v>31</v>
      </c>
      <c r="G181" t="s">
        <v>25</v>
      </c>
      <c r="H181" t="s">
        <v>15</v>
      </c>
      <c r="I181">
        <v>0</v>
      </c>
      <c r="J181" t="s">
        <v>16</v>
      </c>
      <c r="K181" t="s">
        <v>17</v>
      </c>
      <c r="L181">
        <v>37</v>
      </c>
      <c r="M181" t="s">
        <v>47</v>
      </c>
      <c r="N181" t="s">
        <v>15</v>
      </c>
    </row>
    <row r="182" spans="1:14" x14ac:dyDescent="0.35">
      <c r="A182">
        <v>26150</v>
      </c>
      <c r="B182" t="s">
        <v>37</v>
      </c>
      <c r="C182" t="s">
        <v>38</v>
      </c>
      <c r="D182">
        <v>70000</v>
      </c>
      <c r="E182">
        <v>0</v>
      </c>
      <c r="F182" t="s">
        <v>13</v>
      </c>
      <c r="G182" t="s">
        <v>21</v>
      </c>
      <c r="H182" t="s">
        <v>18</v>
      </c>
      <c r="I182">
        <v>1</v>
      </c>
      <c r="J182" t="s">
        <v>16</v>
      </c>
      <c r="K182" t="s">
        <v>24</v>
      </c>
      <c r="L182">
        <v>41</v>
      </c>
      <c r="M182" t="s">
        <v>47</v>
      </c>
      <c r="N182" t="s">
        <v>15</v>
      </c>
    </row>
    <row r="183" spans="1:14" x14ac:dyDescent="0.35">
      <c r="A183">
        <v>22170</v>
      </c>
      <c r="B183" t="s">
        <v>36</v>
      </c>
      <c r="C183" t="s">
        <v>38</v>
      </c>
      <c r="D183">
        <v>30000</v>
      </c>
      <c r="E183">
        <v>3</v>
      </c>
      <c r="F183" t="s">
        <v>19</v>
      </c>
      <c r="G183" t="s">
        <v>20</v>
      </c>
      <c r="H183" t="s">
        <v>18</v>
      </c>
      <c r="I183">
        <v>2</v>
      </c>
      <c r="J183" t="s">
        <v>26</v>
      </c>
      <c r="K183" t="s">
        <v>24</v>
      </c>
      <c r="L183">
        <v>55</v>
      </c>
      <c r="M183" t="s">
        <v>48</v>
      </c>
      <c r="N183" t="s">
        <v>15</v>
      </c>
    </row>
    <row r="184" spans="1:14" x14ac:dyDescent="0.35">
      <c r="A184">
        <v>13122</v>
      </c>
      <c r="B184" t="s">
        <v>36</v>
      </c>
      <c r="C184" t="s">
        <v>38</v>
      </c>
      <c r="D184">
        <v>80000</v>
      </c>
      <c r="E184">
        <v>0</v>
      </c>
      <c r="F184" t="s">
        <v>13</v>
      </c>
      <c r="G184" t="s">
        <v>21</v>
      </c>
      <c r="H184" t="s">
        <v>15</v>
      </c>
      <c r="I184">
        <v>1</v>
      </c>
      <c r="J184" t="s">
        <v>26</v>
      </c>
      <c r="K184" t="s">
        <v>24</v>
      </c>
      <c r="L184">
        <v>41</v>
      </c>
      <c r="M184" t="s">
        <v>47</v>
      </c>
      <c r="N184" t="s">
        <v>15</v>
      </c>
    </row>
    <row r="185" spans="1:14" x14ac:dyDescent="0.35">
      <c r="A185">
        <v>13690</v>
      </c>
      <c r="B185" t="s">
        <v>37</v>
      </c>
      <c r="C185" t="s">
        <v>38</v>
      </c>
      <c r="D185">
        <v>20000</v>
      </c>
      <c r="E185">
        <v>0</v>
      </c>
      <c r="F185" t="s">
        <v>29</v>
      </c>
      <c r="G185" t="s">
        <v>25</v>
      </c>
      <c r="H185" t="s">
        <v>18</v>
      </c>
      <c r="I185">
        <v>2</v>
      </c>
      <c r="J185" t="s">
        <v>26</v>
      </c>
      <c r="K185" t="s">
        <v>17</v>
      </c>
      <c r="L185">
        <v>34</v>
      </c>
      <c r="M185" t="s">
        <v>47</v>
      </c>
      <c r="N185" t="s">
        <v>15</v>
      </c>
    </row>
    <row r="186" spans="1:14" x14ac:dyDescent="0.35">
      <c r="A186">
        <v>28957</v>
      </c>
      <c r="B186" t="s">
        <v>37</v>
      </c>
      <c r="C186" t="s">
        <v>38</v>
      </c>
      <c r="D186">
        <v>120000</v>
      </c>
      <c r="E186">
        <v>0</v>
      </c>
      <c r="F186" t="s">
        <v>29</v>
      </c>
      <c r="G186" t="s">
        <v>21</v>
      </c>
      <c r="H186" t="s">
        <v>15</v>
      </c>
      <c r="I186">
        <v>4</v>
      </c>
      <c r="J186" t="s">
        <v>44</v>
      </c>
      <c r="K186" t="s">
        <v>24</v>
      </c>
      <c r="L186">
        <v>34</v>
      </c>
      <c r="M186" t="s">
        <v>47</v>
      </c>
      <c r="N186" t="s">
        <v>15</v>
      </c>
    </row>
    <row r="187" spans="1:14" x14ac:dyDescent="0.35">
      <c r="A187">
        <v>15799</v>
      </c>
      <c r="B187" t="s">
        <v>36</v>
      </c>
      <c r="C187" t="s">
        <v>38</v>
      </c>
      <c r="D187">
        <v>90000</v>
      </c>
      <c r="E187">
        <v>1</v>
      </c>
      <c r="F187" t="s">
        <v>13</v>
      </c>
      <c r="G187" t="s">
        <v>21</v>
      </c>
      <c r="H187" t="s">
        <v>15</v>
      </c>
      <c r="I187">
        <v>1</v>
      </c>
      <c r="J187" t="s">
        <v>22</v>
      </c>
      <c r="K187" t="s">
        <v>24</v>
      </c>
      <c r="L187">
        <v>47</v>
      </c>
      <c r="M187" t="s">
        <v>47</v>
      </c>
      <c r="N187" t="s">
        <v>15</v>
      </c>
    </row>
    <row r="188" spans="1:14" x14ac:dyDescent="0.35">
      <c r="A188">
        <v>11047</v>
      </c>
      <c r="B188" t="s">
        <v>36</v>
      </c>
      <c r="C188" t="s">
        <v>38</v>
      </c>
      <c r="D188">
        <v>30000</v>
      </c>
      <c r="E188">
        <v>3</v>
      </c>
      <c r="F188" t="s">
        <v>27</v>
      </c>
      <c r="G188" t="s">
        <v>14</v>
      </c>
      <c r="H188" t="s">
        <v>18</v>
      </c>
      <c r="I188">
        <v>2</v>
      </c>
      <c r="J188" t="s">
        <v>26</v>
      </c>
      <c r="K188" t="s">
        <v>24</v>
      </c>
      <c r="L188">
        <v>56</v>
      </c>
      <c r="M188" t="s">
        <v>48</v>
      </c>
      <c r="N188" t="s">
        <v>15</v>
      </c>
    </row>
    <row r="189" spans="1:14" x14ac:dyDescent="0.35">
      <c r="A189">
        <v>12581</v>
      </c>
      <c r="B189" t="s">
        <v>37</v>
      </c>
      <c r="C189" t="s">
        <v>38</v>
      </c>
      <c r="D189">
        <v>10000</v>
      </c>
      <c r="E189">
        <v>0</v>
      </c>
      <c r="F189" t="s">
        <v>19</v>
      </c>
      <c r="G189" t="s">
        <v>25</v>
      </c>
      <c r="H189" t="s">
        <v>18</v>
      </c>
      <c r="I189">
        <v>1</v>
      </c>
      <c r="J189" t="s">
        <v>16</v>
      </c>
      <c r="K189" t="s">
        <v>24</v>
      </c>
      <c r="L189">
        <v>28</v>
      </c>
      <c r="M189" t="s">
        <v>46</v>
      </c>
      <c r="N189" t="s">
        <v>15</v>
      </c>
    </row>
    <row r="190" spans="1:14" x14ac:dyDescent="0.35">
      <c r="A190">
        <v>20606</v>
      </c>
      <c r="B190" t="s">
        <v>36</v>
      </c>
      <c r="C190" t="s">
        <v>38</v>
      </c>
      <c r="D190">
        <v>70000</v>
      </c>
      <c r="E190">
        <v>0</v>
      </c>
      <c r="F190" t="s">
        <v>13</v>
      </c>
      <c r="G190" t="s">
        <v>21</v>
      </c>
      <c r="H190" t="s">
        <v>15</v>
      </c>
      <c r="I190">
        <v>4</v>
      </c>
      <c r="J190" t="s">
        <v>44</v>
      </c>
      <c r="K190" t="s">
        <v>24</v>
      </c>
      <c r="L190">
        <v>32</v>
      </c>
      <c r="M190" t="s">
        <v>47</v>
      </c>
      <c r="N190" t="s">
        <v>15</v>
      </c>
    </row>
    <row r="191" spans="1:14" x14ac:dyDescent="0.35">
      <c r="A191">
        <v>25752</v>
      </c>
      <c r="B191" t="s">
        <v>37</v>
      </c>
      <c r="C191" t="s">
        <v>38</v>
      </c>
      <c r="D191">
        <v>20000</v>
      </c>
      <c r="E191">
        <v>2</v>
      </c>
      <c r="F191" t="s">
        <v>19</v>
      </c>
      <c r="G191" t="s">
        <v>25</v>
      </c>
      <c r="H191" t="s">
        <v>18</v>
      </c>
      <c r="I191">
        <v>1</v>
      </c>
      <c r="J191" t="s">
        <v>16</v>
      </c>
      <c r="K191" t="s">
        <v>17</v>
      </c>
      <c r="L191">
        <v>53</v>
      </c>
      <c r="M191" t="s">
        <v>47</v>
      </c>
      <c r="N191" t="s">
        <v>15</v>
      </c>
    </row>
    <row r="192" spans="1:14" x14ac:dyDescent="0.35">
      <c r="A192">
        <v>25918</v>
      </c>
      <c r="B192" t="s">
        <v>37</v>
      </c>
      <c r="C192" t="s">
        <v>38</v>
      </c>
      <c r="D192">
        <v>30000</v>
      </c>
      <c r="E192">
        <v>2</v>
      </c>
      <c r="F192" t="s">
        <v>19</v>
      </c>
      <c r="G192" t="s">
        <v>20</v>
      </c>
      <c r="H192" t="s">
        <v>18</v>
      </c>
      <c r="I192">
        <v>2</v>
      </c>
      <c r="J192" t="s">
        <v>23</v>
      </c>
      <c r="K192" t="s">
        <v>24</v>
      </c>
      <c r="L192">
        <v>60</v>
      </c>
      <c r="M192" t="s">
        <v>48</v>
      </c>
      <c r="N192" t="s">
        <v>15</v>
      </c>
    </row>
    <row r="193" spans="1:14" x14ac:dyDescent="0.35">
      <c r="A193">
        <v>12133</v>
      </c>
      <c r="B193" t="s">
        <v>36</v>
      </c>
      <c r="C193" t="s">
        <v>38</v>
      </c>
      <c r="D193">
        <v>130000</v>
      </c>
      <c r="E193">
        <v>3</v>
      </c>
      <c r="F193" t="s">
        <v>19</v>
      </c>
      <c r="G193" t="s">
        <v>21</v>
      </c>
      <c r="H193" t="s">
        <v>15</v>
      </c>
      <c r="I193">
        <v>3</v>
      </c>
      <c r="J193" t="s">
        <v>23</v>
      </c>
      <c r="K193" t="s">
        <v>17</v>
      </c>
      <c r="L193">
        <v>50</v>
      </c>
      <c r="M193" t="s">
        <v>47</v>
      </c>
      <c r="N193" t="s">
        <v>15</v>
      </c>
    </row>
    <row r="194" spans="1:14" x14ac:dyDescent="0.35">
      <c r="A194">
        <v>22636</v>
      </c>
      <c r="B194" t="s">
        <v>37</v>
      </c>
      <c r="C194" t="s">
        <v>38</v>
      </c>
      <c r="D194">
        <v>40000</v>
      </c>
      <c r="E194">
        <v>0</v>
      </c>
      <c r="F194" t="s">
        <v>13</v>
      </c>
      <c r="G194" t="s">
        <v>20</v>
      </c>
      <c r="H194" t="s">
        <v>18</v>
      </c>
      <c r="I194">
        <v>0</v>
      </c>
      <c r="J194" t="s">
        <v>16</v>
      </c>
      <c r="K194" t="s">
        <v>17</v>
      </c>
      <c r="L194">
        <v>38</v>
      </c>
      <c r="M194" t="s">
        <v>47</v>
      </c>
      <c r="N194" t="s">
        <v>15</v>
      </c>
    </row>
    <row r="195" spans="1:14" x14ac:dyDescent="0.35">
      <c r="A195">
        <v>19305</v>
      </c>
      <c r="B195" t="s">
        <v>37</v>
      </c>
      <c r="C195" t="s">
        <v>38</v>
      </c>
      <c r="D195">
        <v>10000</v>
      </c>
      <c r="E195">
        <v>2</v>
      </c>
      <c r="F195" t="s">
        <v>27</v>
      </c>
      <c r="G195" t="s">
        <v>25</v>
      </c>
      <c r="H195" t="s">
        <v>15</v>
      </c>
      <c r="I195">
        <v>1</v>
      </c>
      <c r="J195" t="s">
        <v>16</v>
      </c>
      <c r="K195" t="s">
        <v>17</v>
      </c>
      <c r="L195">
        <v>38</v>
      </c>
      <c r="M195" t="s">
        <v>47</v>
      </c>
      <c r="N195" t="s">
        <v>15</v>
      </c>
    </row>
    <row r="196" spans="1:14" x14ac:dyDescent="0.35">
      <c r="A196">
        <v>23571</v>
      </c>
      <c r="B196" t="s">
        <v>36</v>
      </c>
      <c r="C196" t="s">
        <v>38</v>
      </c>
      <c r="D196">
        <v>40000</v>
      </c>
      <c r="E196">
        <v>2</v>
      </c>
      <c r="F196" t="s">
        <v>13</v>
      </c>
      <c r="G196" t="s">
        <v>28</v>
      </c>
      <c r="H196" t="s">
        <v>15</v>
      </c>
      <c r="I196">
        <v>2</v>
      </c>
      <c r="J196" t="s">
        <v>16</v>
      </c>
      <c r="K196" t="s">
        <v>24</v>
      </c>
      <c r="L196">
        <v>66</v>
      </c>
      <c r="M196" t="s">
        <v>48</v>
      </c>
      <c r="N196" t="s">
        <v>15</v>
      </c>
    </row>
    <row r="197" spans="1:14" x14ac:dyDescent="0.35">
      <c r="A197">
        <v>22518</v>
      </c>
      <c r="B197" t="s">
        <v>37</v>
      </c>
      <c r="C197" t="s">
        <v>38</v>
      </c>
      <c r="D197">
        <v>30000</v>
      </c>
      <c r="E197">
        <v>3</v>
      </c>
      <c r="F197" t="s">
        <v>19</v>
      </c>
      <c r="G197" t="s">
        <v>20</v>
      </c>
      <c r="H197" t="s">
        <v>18</v>
      </c>
      <c r="I197">
        <v>2</v>
      </c>
      <c r="J197" t="s">
        <v>16</v>
      </c>
      <c r="K197" t="s">
        <v>17</v>
      </c>
      <c r="L197">
        <v>27</v>
      </c>
      <c r="M197" t="s">
        <v>46</v>
      </c>
      <c r="N197" t="s">
        <v>15</v>
      </c>
    </row>
    <row r="198" spans="1:14" x14ac:dyDescent="0.35">
      <c r="A198">
        <v>23608</v>
      </c>
      <c r="B198" t="s">
        <v>36</v>
      </c>
      <c r="C198" t="s">
        <v>38</v>
      </c>
      <c r="D198">
        <v>150000</v>
      </c>
      <c r="E198">
        <v>3</v>
      </c>
      <c r="F198" t="s">
        <v>27</v>
      </c>
      <c r="G198" t="s">
        <v>21</v>
      </c>
      <c r="H198" t="s">
        <v>15</v>
      </c>
      <c r="I198">
        <v>3</v>
      </c>
      <c r="J198" t="s">
        <v>16</v>
      </c>
      <c r="K198" t="s">
        <v>17</v>
      </c>
      <c r="L198">
        <v>51</v>
      </c>
      <c r="M198" t="s">
        <v>47</v>
      </c>
      <c r="N198" t="s">
        <v>15</v>
      </c>
    </row>
    <row r="199" spans="1:14" x14ac:dyDescent="0.35">
      <c r="A199">
        <v>24121</v>
      </c>
      <c r="B199" t="s">
        <v>37</v>
      </c>
      <c r="C199" t="s">
        <v>38</v>
      </c>
      <c r="D199">
        <v>30000</v>
      </c>
      <c r="E199">
        <v>0</v>
      </c>
      <c r="F199" t="s">
        <v>19</v>
      </c>
      <c r="G199" t="s">
        <v>20</v>
      </c>
      <c r="H199" t="s">
        <v>18</v>
      </c>
      <c r="I199">
        <v>1</v>
      </c>
      <c r="J199" t="s">
        <v>16</v>
      </c>
      <c r="K199" t="s">
        <v>17</v>
      </c>
      <c r="L199">
        <v>29</v>
      </c>
      <c r="M199" t="s">
        <v>46</v>
      </c>
      <c r="N199" t="s">
        <v>15</v>
      </c>
    </row>
    <row r="200" spans="1:14" x14ac:dyDescent="0.35">
      <c r="A200">
        <v>15214</v>
      </c>
      <c r="B200" t="s">
        <v>37</v>
      </c>
      <c r="C200" t="s">
        <v>38</v>
      </c>
      <c r="D200">
        <v>100000</v>
      </c>
      <c r="E200">
        <v>0</v>
      </c>
      <c r="F200" t="s">
        <v>31</v>
      </c>
      <c r="G200" t="s">
        <v>28</v>
      </c>
      <c r="H200" t="s">
        <v>18</v>
      </c>
      <c r="I200">
        <v>1</v>
      </c>
      <c r="J200" t="s">
        <v>26</v>
      </c>
      <c r="K200" t="s">
        <v>24</v>
      </c>
      <c r="L200">
        <v>39</v>
      </c>
      <c r="M200" t="s">
        <v>47</v>
      </c>
      <c r="N200" t="s">
        <v>15</v>
      </c>
    </row>
    <row r="201" spans="1:14" x14ac:dyDescent="0.35">
      <c r="A201">
        <v>22936</v>
      </c>
      <c r="B201" t="s">
        <v>37</v>
      </c>
      <c r="C201" t="s">
        <v>38</v>
      </c>
      <c r="D201">
        <v>60000</v>
      </c>
      <c r="E201">
        <v>1</v>
      </c>
      <c r="F201" t="s">
        <v>19</v>
      </c>
      <c r="G201" t="s">
        <v>14</v>
      </c>
      <c r="H201" t="s">
        <v>18</v>
      </c>
      <c r="I201">
        <v>1</v>
      </c>
      <c r="J201" t="s">
        <v>16</v>
      </c>
      <c r="K201" t="s">
        <v>24</v>
      </c>
      <c r="L201">
        <v>45</v>
      </c>
      <c r="M201" t="s">
        <v>47</v>
      </c>
      <c r="N201" t="s">
        <v>15</v>
      </c>
    </row>
    <row r="202" spans="1:14" x14ac:dyDescent="0.35">
      <c r="A202">
        <v>17894</v>
      </c>
      <c r="B202" t="s">
        <v>36</v>
      </c>
      <c r="C202" t="s">
        <v>38</v>
      </c>
      <c r="D202">
        <v>20000</v>
      </c>
      <c r="E202">
        <v>1</v>
      </c>
      <c r="F202" t="s">
        <v>13</v>
      </c>
      <c r="G202" t="s">
        <v>20</v>
      </c>
      <c r="H202" t="s">
        <v>15</v>
      </c>
      <c r="I202">
        <v>0</v>
      </c>
      <c r="J202" t="s">
        <v>16</v>
      </c>
      <c r="K202" t="s">
        <v>17</v>
      </c>
      <c r="L202">
        <v>50</v>
      </c>
      <c r="M202" t="s">
        <v>47</v>
      </c>
      <c r="N202" t="s">
        <v>15</v>
      </c>
    </row>
    <row r="203" spans="1:14" x14ac:dyDescent="0.35">
      <c r="A203">
        <v>19174</v>
      </c>
      <c r="B203" t="s">
        <v>37</v>
      </c>
      <c r="C203" t="s">
        <v>38</v>
      </c>
      <c r="D203">
        <v>30000</v>
      </c>
      <c r="E203">
        <v>0</v>
      </c>
      <c r="F203" t="s">
        <v>27</v>
      </c>
      <c r="G203" t="s">
        <v>25</v>
      </c>
      <c r="H203" t="s">
        <v>18</v>
      </c>
      <c r="I203">
        <v>1</v>
      </c>
      <c r="J203" t="s">
        <v>22</v>
      </c>
      <c r="K203" t="s">
        <v>17</v>
      </c>
      <c r="L203">
        <v>32</v>
      </c>
      <c r="M203" t="s">
        <v>47</v>
      </c>
      <c r="N203" t="s">
        <v>15</v>
      </c>
    </row>
    <row r="204" spans="1:14" x14ac:dyDescent="0.35">
      <c r="A204">
        <v>15926</v>
      </c>
      <c r="B204" t="s">
        <v>37</v>
      </c>
      <c r="C204" t="s">
        <v>38</v>
      </c>
      <c r="D204">
        <v>120000</v>
      </c>
      <c r="E204">
        <v>3</v>
      </c>
      <c r="F204" t="s">
        <v>27</v>
      </c>
      <c r="G204" t="s">
        <v>21</v>
      </c>
      <c r="H204" t="s">
        <v>15</v>
      </c>
      <c r="I204">
        <v>4</v>
      </c>
      <c r="J204" t="s">
        <v>23</v>
      </c>
      <c r="K204" t="s">
        <v>17</v>
      </c>
      <c r="L204">
        <v>50</v>
      </c>
      <c r="M204" t="s">
        <v>47</v>
      </c>
      <c r="N204" t="s">
        <v>15</v>
      </c>
    </row>
    <row r="205" spans="1:14" x14ac:dyDescent="0.35">
      <c r="A205">
        <v>29298</v>
      </c>
      <c r="B205" t="s">
        <v>37</v>
      </c>
      <c r="C205" t="s">
        <v>38</v>
      </c>
      <c r="D205">
        <v>60000</v>
      </c>
      <c r="E205">
        <v>1</v>
      </c>
      <c r="F205" t="s">
        <v>19</v>
      </c>
      <c r="G205" t="s">
        <v>14</v>
      </c>
      <c r="H205" t="s">
        <v>15</v>
      </c>
      <c r="I205">
        <v>1</v>
      </c>
      <c r="J205" t="s">
        <v>23</v>
      </c>
      <c r="K205" t="s">
        <v>24</v>
      </c>
      <c r="L205">
        <v>46</v>
      </c>
      <c r="M205" t="s">
        <v>47</v>
      </c>
      <c r="N205" t="s">
        <v>15</v>
      </c>
    </row>
    <row r="206" spans="1:14" x14ac:dyDescent="0.35">
      <c r="A206">
        <v>11489</v>
      </c>
      <c r="B206" t="s">
        <v>37</v>
      </c>
      <c r="C206" t="s">
        <v>38</v>
      </c>
      <c r="D206">
        <v>20000</v>
      </c>
      <c r="E206">
        <v>0</v>
      </c>
      <c r="F206" t="s">
        <v>29</v>
      </c>
      <c r="G206" t="s">
        <v>25</v>
      </c>
      <c r="H206" t="s">
        <v>18</v>
      </c>
      <c r="I206">
        <v>2</v>
      </c>
      <c r="J206" t="s">
        <v>26</v>
      </c>
      <c r="K206" t="s">
        <v>17</v>
      </c>
      <c r="L206">
        <v>35</v>
      </c>
      <c r="M206" t="s">
        <v>47</v>
      </c>
      <c r="N206" t="s">
        <v>15</v>
      </c>
    </row>
    <row r="207" spans="1:14" x14ac:dyDescent="0.35">
      <c r="A207">
        <v>20994</v>
      </c>
      <c r="B207" t="s">
        <v>36</v>
      </c>
      <c r="C207" t="s">
        <v>38</v>
      </c>
      <c r="D207">
        <v>20000</v>
      </c>
      <c r="E207">
        <v>0</v>
      </c>
      <c r="F207" t="s">
        <v>13</v>
      </c>
      <c r="G207" t="s">
        <v>20</v>
      </c>
      <c r="H207" t="s">
        <v>18</v>
      </c>
      <c r="I207">
        <v>0</v>
      </c>
      <c r="J207" t="s">
        <v>16</v>
      </c>
      <c r="K207" t="s">
        <v>24</v>
      </c>
      <c r="L207">
        <v>26</v>
      </c>
      <c r="M207" t="s">
        <v>46</v>
      </c>
      <c r="N207" t="s">
        <v>15</v>
      </c>
    </row>
    <row r="208" spans="1:14" x14ac:dyDescent="0.35">
      <c r="A208">
        <v>27760</v>
      </c>
      <c r="B208" t="s">
        <v>37</v>
      </c>
      <c r="C208" t="s">
        <v>38</v>
      </c>
      <c r="D208">
        <v>40000</v>
      </c>
      <c r="E208">
        <v>0</v>
      </c>
      <c r="F208" t="s">
        <v>31</v>
      </c>
      <c r="G208" t="s">
        <v>20</v>
      </c>
      <c r="H208" t="s">
        <v>18</v>
      </c>
      <c r="I208">
        <v>0</v>
      </c>
      <c r="J208" t="s">
        <v>16</v>
      </c>
      <c r="K208" t="s">
        <v>17</v>
      </c>
      <c r="L208">
        <v>37</v>
      </c>
      <c r="M208" t="s">
        <v>47</v>
      </c>
      <c r="N208" t="s">
        <v>15</v>
      </c>
    </row>
    <row r="209" spans="1:14" x14ac:dyDescent="0.35">
      <c r="A209">
        <v>28729</v>
      </c>
      <c r="B209" t="s">
        <v>37</v>
      </c>
      <c r="C209" t="s">
        <v>38</v>
      </c>
      <c r="D209">
        <v>20000</v>
      </c>
      <c r="E209">
        <v>0</v>
      </c>
      <c r="F209" t="s">
        <v>29</v>
      </c>
      <c r="G209" t="s">
        <v>25</v>
      </c>
      <c r="H209" t="s">
        <v>15</v>
      </c>
      <c r="I209">
        <v>2</v>
      </c>
      <c r="J209" t="s">
        <v>26</v>
      </c>
      <c r="K209" t="s">
        <v>17</v>
      </c>
      <c r="L209">
        <v>26</v>
      </c>
      <c r="M209" t="s">
        <v>46</v>
      </c>
      <c r="N209" t="s">
        <v>15</v>
      </c>
    </row>
    <row r="210" spans="1:14" x14ac:dyDescent="0.35">
      <c r="A210">
        <v>22633</v>
      </c>
      <c r="B210" t="s">
        <v>37</v>
      </c>
      <c r="C210" t="s">
        <v>38</v>
      </c>
      <c r="D210">
        <v>40000</v>
      </c>
      <c r="E210">
        <v>0</v>
      </c>
      <c r="F210" t="s">
        <v>31</v>
      </c>
      <c r="G210" t="s">
        <v>20</v>
      </c>
      <c r="H210" t="s">
        <v>15</v>
      </c>
      <c r="I210">
        <v>0</v>
      </c>
      <c r="J210" t="s">
        <v>16</v>
      </c>
      <c r="K210" t="s">
        <v>17</v>
      </c>
      <c r="L210">
        <v>37</v>
      </c>
      <c r="M210" t="s">
        <v>47</v>
      </c>
      <c r="N210" t="s">
        <v>15</v>
      </c>
    </row>
    <row r="211" spans="1:14" x14ac:dyDescent="0.35">
      <c r="A211">
        <v>25649</v>
      </c>
      <c r="B211" t="s">
        <v>37</v>
      </c>
      <c r="C211" t="s">
        <v>38</v>
      </c>
      <c r="D211">
        <v>30000</v>
      </c>
      <c r="E211">
        <v>3</v>
      </c>
      <c r="F211" t="s">
        <v>19</v>
      </c>
      <c r="G211" t="s">
        <v>20</v>
      </c>
      <c r="H211" t="s">
        <v>15</v>
      </c>
      <c r="I211">
        <v>0</v>
      </c>
      <c r="J211" t="s">
        <v>16</v>
      </c>
      <c r="K211" t="s">
        <v>17</v>
      </c>
      <c r="L211">
        <v>42</v>
      </c>
      <c r="M211" t="s">
        <v>47</v>
      </c>
      <c r="N211" t="s">
        <v>15</v>
      </c>
    </row>
    <row r="212" spans="1:14" x14ac:dyDescent="0.35">
      <c r="A212">
        <v>16410</v>
      </c>
      <c r="B212" t="s">
        <v>37</v>
      </c>
      <c r="C212" t="s">
        <v>38</v>
      </c>
      <c r="D212">
        <v>10000</v>
      </c>
      <c r="E212">
        <v>4</v>
      </c>
      <c r="F212" t="s">
        <v>29</v>
      </c>
      <c r="G212" t="s">
        <v>25</v>
      </c>
      <c r="H212" t="s">
        <v>15</v>
      </c>
      <c r="I212">
        <v>2</v>
      </c>
      <c r="J212" t="s">
        <v>16</v>
      </c>
      <c r="K212" t="s">
        <v>17</v>
      </c>
      <c r="L212">
        <v>41</v>
      </c>
      <c r="M212" t="s">
        <v>47</v>
      </c>
      <c r="N212" t="s">
        <v>15</v>
      </c>
    </row>
    <row r="213" spans="1:14" x14ac:dyDescent="0.35">
      <c r="A213">
        <v>19299</v>
      </c>
      <c r="B213" t="s">
        <v>36</v>
      </c>
      <c r="C213" t="s">
        <v>38</v>
      </c>
      <c r="D213">
        <v>50000</v>
      </c>
      <c r="E213">
        <v>0</v>
      </c>
      <c r="F213" t="s">
        <v>31</v>
      </c>
      <c r="G213" t="s">
        <v>14</v>
      </c>
      <c r="H213" t="s">
        <v>15</v>
      </c>
      <c r="I213">
        <v>0</v>
      </c>
      <c r="J213" t="s">
        <v>16</v>
      </c>
      <c r="K213" t="s">
        <v>17</v>
      </c>
      <c r="L213">
        <v>36</v>
      </c>
      <c r="M213" t="s">
        <v>47</v>
      </c>
      <c r="N213" t="s">
        <v>15</v>
      </c>
    </row>
    <row r="214" spans="1:14" x14ac:dyDescent="0.35">
      <c r="A214">
        <v>16675</v>
      </c>
      <c r="B214" t="s">
        <v>37</v>
      </c>
      <c r="C214" t="s">
        <v>38</v>
      </c>
      <c r="D214">
        <v>160000</v>
      </c>
      <c r="E214">
        <v>0</v>
      </c>
      <c r="F214" t="s">
        <v>31</v>
      </c>
      <c r="G214" t="s">
        <v>28</v>
      </c>
      <c r="H214" t="s">
        <v>18</v>
      </c>
      <c r="I214">
        <v>3</v>
      </c>
      <c r="J214" t="s">
        <v>16</v>
      </c>
      <c r="K214" t="s">
        <v>24</v>
      </c>
      <c r="L214">
        <v>47</v>
      </c>
      <c r="M214" t="s">
        <v>47</v>
      </c>
      <c r="N214" t="s">
        <v>15</v>
      </c>
    </row>
    <row r="215" spans="1:14" x14ac:dyDescent="0.35">
      <c r="A215">
        <v>11381</v>
      </c>
      <c r="B215" t="s">
        <v>36</v>
      </c>
      <c r="C215" t="s">
        <v>38</v>
      </c>
      <c r="D215">
        <v>20000</v>
      </c>
      <c r="E215">
        <v>2</v>
      </c>
      <c r="F215" t="s">
        <v>19</v>
      </c>
      <c r="G215" t="s">
        <v>25</v>
      </c>
      <c r="H215" t="s">
        <v>15</v>
      </c>
      <c r="I215">
        <v>1</v>
      </c>
      <c r="J215" t="s">
        <v>22</v>
      </c>
      <c r="K215" t="s">
        <v>17</v>
      </c>
      <c r="L215">
        <v>47</v>
      </c>
      <c r="M215" t="s">
        <v>47</v>
      </c>
      <c r="N215" t="s">
        <v>15</v>
      </c>
    </row>
    <row r="216" spans="1:14" x14ac:dyDescent="0.35">
      <c r="A216">
        <v>17926</v>
      </c>
      <c r="B216" t="s">
        <v>37</v>
      </c>
      <c r="C216" t="s">
        <v>38</v>
      </c>
      <c r="D216">
        <v>40000</v>
      </c>
      <c r="E216">
        <v>0</v>
      </c>
      <c r="F216" t="s">
        <v>13</v>
      </c>
      <c r="G216" t="s">
        <v>20</v>
      </c>
      <c r="H216" t="s">
        <v>18</v>
      </c>
      <c r="I216">
        <v>0</v>
      </c>
      <c r="J216" t="s">
        <v>16</v>
      </c>
      <c r="K216" t="s">
        <v>24</v>
      </c>
      <c r="L216">
        <v>28</v>
      </c>
      <c r="M216" t="s">
        <v>46</v>
      </c>
      <c r="N216" t="s">
        <v>15</v>
      </c>
    </row>
    <row r="217" spans="1:14" x14ac:dyDescent="0.35">
      <c r="A217">
        <v>14189</v>
      </c>
      <c r="B217" t="s">
        <v>36</v>
      </c>
      <c r="C217" t="s">
        <v>38</v>
      </c>
      <c r="D217">
        <v>90000</v>
      </c>
      <c r="E217">
        <v>4</v>
      </c>
      <c r="F217" t="s">
        <v>27</v>
      </c>
      <c r="G217" t="s">
        <v>21</v>
      </c>
      <c r="H217" t="s">
        <v>18</v>
      </c>
      <c r="I217">
        <v>2</v>
      </c>
      <c r="J217" t="s">
        <v>22</v>
      </c>
      <c r="K217" t="s">
        <v>17</v>
      </c>
      <c r="L217">
        <v>54</v>
      </c>
      <c r="M217" t="s">
        <v>48</v>
      </c>
      <c r="N217" t="s">
        <v>15</v>
      </c>
    </row>
    <row r="218" spans="1:14" x14ac:dyDescent="0.35">
      <c r="A218">
        <v>26663</v>
      </c>
      <c r="B218" t="s">
        <v>37</v>
      </c>
      <c r="C218" t="s">
        <v>38</v>
      </c>
      <c r="D218">
        <v>60000</v>
      </c>
      <c r="E218">
        <v>2</v>
      </c>
      <c r="F218" t="s">
        <v>13</v>
      </c>
      <c r="G218" t="s">
        <v>21</v>
      </c>
      <c r="H218" t="s">
        <v>18</v>
      </c>
      <c r="I218">
        <v>1</v>
      </c>
      <c r="J218" t="s">
        <v>16</v>
      </c>
      <c r="K218" t="s">
        <v>24</v>
      </c>
      <c r="L218">
        <v>39</v>
      </c>
      <c r="M218" t="s">
        <v>47</v>
      </c>
      <c r="N218" t="s">
        <v>15</v>
      </c>
    </row>
    <row r="219" spans="1:14" x14ac:dyDescent="0.35">
      <c r="A219">
        <v>21557</v>
      </c>
      <c r="B219" t="s">
        <v>37</v>
      </c>
      <c r="C219" t="s">
        <v>38</v>
      </c>
      <c r="D219">
        <v>110000</v>
      </c>
      <c r="E219">
        <v>0</v>
      </c>
      <c r="F219" t="s">
        <v>19</v>
      </c>
      <c r="G219" t="s">
        <v>28</v>
      </c>
      <c r="H219" t="s">
        <v>15</v>
      </c>
      <c r="I219">
        <v>3</v>
      </c>
      <c r="J219" t="s">
        <v>44</v>
      </c>
      <c r="K219" t="s">
        <v>24</v>
      </c>
      <c r="L219">
        <v>32</v>
      </c>
      <c r="M219" t="s">
        <v>47</v>
      </c>
      <c r="N219" t="s">
        <v>15</v>
      </c>
    </row>
    <row r="220" spans="1:14" x14ac:dyDescent="0.35">
      <c r="A220">
        <v>11378</v>
      </c>
      <c r="B220" t="s">
        <v>37</v>
      </c>
      <c r="C220" t="s">
        <v>38</v>
      </c>
      <c r="D220">
        <v>10000</v>
      </c>
      <c r="E220">
        <v>1</v>
      </c>
      <c r="F220" t="s">
        <v>27</v>
      </c>
      <c r="G220" t="s">
        <v>25</v>
      </c>
      <c r="H220" t="s">
        <v>18</v>
      </c>
      <c r="I220">
        <v>1</v>
      </c>
      <c r="J220" t="s">
        <v>22</v>
      </c>
      <c r="K220" t="s">
        <v>17</v>
      </c>
      <c r="L220">
        <v>46</v>
      </c>
      <c r="M220" t="s">
        <v>47</v>
      </c>
      <c r="N220" t="s">
        <v>15</v>
      </c>
    </row>
    <row r="221" spans="1:14" x14ac:dyDescent="0.35">
      <c r="A221">
        <v>20923</v>
      </c>
      <c r="B221" t="s">
        <v>36</v>
      </c>
      <c r="C221" t="s">
        <v>38</v>
      </c>
      <c r="D221">
        <v>40000</v>
      </c>
      <c r="E221">
        <v>1</v>
      </c>
      <c r="F221" t="s">
        <v>13</v>
      </c>
      <c r="G221" t="s">
        <v>14</v>
      </c>
      <c r="H221" t="s">
        <v>15</v>
      </c>
      <c r="I221">
        <v>0</v>
      </c>
      <c r="J221" t="s">
        <v>16</v>
      </c>
      <c r="K221" t="s">
        <v>17</v>
      </c>
      <c r="L221">
        <v>42</v>
      </c>
      <c r="M221" t="s">
        <v>47</v>
      </c>
      <c r="N221" t="s">
        <v>15</v>
      </c>
    </row>
    <row r="222" spans="1:14" x14ac:dyDescent="0.35">
      <c r="A222">
        <v>28319</v>
      </c>
      <c r="B222" t="s">
        <v>37</v>
      </c>
      <c r="C222" t="s">
        <v>38</v>
      </c>
      <c r="D222">
        <v>60000</v>
      </c>
      <c r="E222">
        <v>1</v>
      </c>
      <c r="F222" t="s">
        <v>19</v>
      </c>
      <c r="G222" t="s">
        <v>14</v>
      </c>
      <c r="H222" t="s">
        <v>18</v>
      </c>
      <c r="I222">
        <v>1</v>
      </c>
      <c r="J222" t="s">
        <v>16</v>
      </c>
      <c r="K222" t="s">
        <v>24</v>
      </c>
      <c r="L222">
        <v>46</v>
      </c>
      <c r="M222" t="s">
        <v>47</v>
      </c>
      <c r="N222" t="s">
        <v>15</v>
      </c>
    </row>
    <row r="223" spans="1:14" x14ac:dyDescent="0.35">
      <c r="A223">
        <v>24187</v>
      </c>
      <c r="B223" t="s">
        <v>37</v>
      </c>
      <c r="C223" t="s">
        <v>38</v>
      </c>
      <c r="D223">
        <v>30000</v>
      </c>
      <c r="E223">
        <v>3</v>
      </c>
      <c r="F223" t="s">
        <v>31</v>
      </c>
      <c r="G223" t="s">
        <v>20</v>
      </c>
      <c r="H223" t="s">
        <v>18</v>
      </c>
      <c r="I223">
        <v>0</v>
      </c>
      <c r="J223" t="s">
        <v>16</v>
      </c>
      <c r="K223" t="s">
        <v>17</v>
      </c>
      <c r="L223">
        <v>46</v>
      </c>
      <c r="M223" t="s">
        <v>47</v>
      </c>
      <c r="N223" t="s">
        <v>15</v>
      </c>
    </row>
    <row r="224" spans="1:14" x14ac:dyDescent="0.35">
      <c r="A224">
        <v>24201</v>
      </c>
      <c r="B224" t="s">
        <v>36</v>
      </c>
      <c r="C224" t="s">
        <v>38</v>
      </c>
      <c r="D224">
        <v>10000</v>
      </c>
      <c r="E224">
        <v>2</v>
      </c>
      <c r="F224" t="s">
        <v>27</v>
      </c>
      <c r="G224" t="s">
        <v>25</v>
      </c>
      <c r="H224" t="s">
        <v>15</v>
      </c>
      <c r="I224">
        <v>0</v>
      </c>
      <c r="J224" t="s">
        <v>16</v>
      </c>
      <c r="K224" t="s">
        <v>17</v>
      </c>
      <c r="L224">
        <v>37</v>
      </c>
      <c r="M224" t="s">
        <v>47</v>
      </c>
      <c r="N224" t="s">
        <v>15</v>
      </c>
    </row>
    <row r="225" spans="1:14" x14ac:dyDescent="0.35">
      <c r="A225">
        <v>26654</v>
      </c>
      <c r="B225" t="s">
        <v>36</v>
      </c>
      <c r="C225" t="s">
        <v>38</v>
      </c>
      <c r="D225">
        <v>90000</v>
      </c>
      <c r="E225">
        <v>1</v>
      </c>
      <c r="F225" t="s">
        <v>31</v>
      </c>
      <c r="G225" t="s">
        <v>28</v>
      </c>
      <c r="H225" t="s">
        <v>15</v>
      </c>
      <c r="I225">
        <v>0</v>
      </c>
      <c r="J225" t="s">
        <v>16</v>
      </c>
      <c r="K225" t="s">
        <v>24</v>
      </c>
      <c r="L225">
        <v>37</v>
      </c>
      <c r="M225" t="s">
        <v>47</v>
      </c>
      <c r="N225" t="s">
        <v>15</v>
      </c>
    </row>
    <row r="226" spans="1:14" x14ac:dyDescent="0.35">
      <c r="A226">
        <v>12284</v>
      </c>
      <c r="B226" t="s">
        <v>36</v>
      </c>
      <c r="C226" t="s">
        <v>38</v>
      </c>
      <c r="D226">
        <v>30000</v>
      </c>
      <c r="E226">
        <v>0</v>
      </c>
      <c r="F226" t="s">
        <v>13</v>
      </c>
      <c r="G226" t="s">
        <v>20</v>
      </c>
      <c r="H226" t="s">
        <v>18</v>
      </c>
      <c r="I226">
        <v>0</v>
      </c>
      <c r="J226" t="s">
        <v>16</v>
      </c>
      <c r="K226" t="s">
        <v>17</v>
      </c>
      <c r="L226">
        <v>36</v>
      </c>
      <c r="M226" t="s">
        <v>47</v>
      </c>
      <c r="N226" t="s">
        <v>15</v>
      </c>
    </row>
    <row r="227" spans="1:14" x14ac:dyDescent="0.35">
      <c r="A227">
        <v>12231</v>
      </c>
      <c r="B227" t="s">
        <v>37</v>
      </c>
      <c r="C227" t="s">
        <v>38</v>
      </c>
      <c r="D227">
        <v>10000</v>
      </c>
      <c r="E227">
        <v>2</v>
      </c>
      <c r="F227" t="s">
        <v>19</v>
      </c>
      <c r="G227" t="s">
        <v>25</v>
      </c>
      <c r="H227" t="s">
        <v>15</v>
      </c>
      <c r="I227">
        <v>0</v>
      </c>
      <c r="J227" t="s">
        <v>16</v>
      </c>
      <c r="K227" t="s">
        <v>17</v>
      </c>
      <c r="L227">
        <v>51</v>
      </c>
      <c r="M227" t="s">
        <v>47</v>
      </c>
      <c r="N227" t="s">
        <v>15</v>
      </c>
    </row>
    <row r="228" spans="1:14" x14ac:dyDescent="0.35">
      <c r="A228">
        <v>12833</v>
      </c>
      <c r="B228" t="s">
        <v>37</v>
      </c>
      <c r="C228" t="s">
        <v>38</v>
      </c>
      <c r="D228">
        <v>20000</v>
      </c>
      <c r="E228">
        <v>3</v>
      </c>
      <c r="F228" t="s">
        <v>27</v>
      </c>
      <c r="G228" t="s">
        <v>25</v>
      </c>
      <c r="H228" t="s">
        <v>15</v>
      </c>
      <c r="I228">
        <v>1</v>
      </c>
      <c r="J228" t="s">
        <v>16</v>
      </c>
      <c r="K228" t="s">
        <v>17</v>
      </c>
      <c r="L228">
        <v>42</v>
      </c>
      <c r="M228" t="s">
        <v>47</v>
      </c>
      <c r="N228" t="s">
        <v>15</v>
      </c>
    </row>
    <row r="229" spans="1:14" x14ac:dyDescent="0.35">
      <c r="A229">
        <v>21039</v>
      </c>
      <c r="B229" t="s">
        <v>37</v>
      </c>
      <c r="C229" t="s">
        <v>38</v>
      </c>
      <c r="D229">
        <v>50000</v>
      </c>
      <c r="E229">
        <v>0</v>
      </c>
      <c r="F229" t="s">
        <v>31</v>
      </c>
      <c r="G229" t="s">
        <v>14</v>
      </c>
      <c r="H229" t="s">
        <v>18</v>
      </c>
      <c r="I229">
        <v>0</v>
      </c>
      <c r="J229" t="s">
        <v>16</v>
      </c>
      <c r="K229" t="s">
        <v>17</v>
      </c>
      <c r="L229">
        <v>37</v>
      </c>
      <c r="M229" t="s">
        <v>47</v>
      </c>
      <c r="N229" t="s">
        <v>15</v>
      </c>
    </row>
    <row r="230" spans="1:14" x14ac:dyDescent="0.35">
      <c r="A230">
        <v>26219</v>
      </c>
      <c r="B230" t="s">
        <v>36</v>
      </c>
      <c r="C230" t="s">
        <v>38</v>
      </c>
      <c r="D230">
        <v>40000</v>
      </c>
      <c r="E230">
        <v>1</v>
      </c>
      <c r="F230" t="s">
        <v>13</v>
      </c>
      <c r="G230" t="s">
        <v>14</v>
      </c>
      <c r="H230" t="s">
        <v>15</v>
      </c>
      <c r="I230">
        <v>1</v>
      </c>
      <c r="J230" t="s">
        <v>26</v>
      </c>
      <c r="K230" t="s">
        <v>17</v>
      </c>
      <c r="L230">
        <v>33</v>
      </c>
      <c r="M230" t="s">
        <v>47</v>
      </c>
      <c r="N230" t="s">
        <v>15</v>
      </c>
    </row>
    <row r="231" spans="1:14" x14ac:dyDescent="0.35">
      <c r="A231">
        <v>14164</v>
      </c>
      <c r="B231" t="s">
        <v>37</v>
      </c>
      <c r="C231" t="s">
        <v>38</v>
      </c>
      <c r="D231">
        <v>50000</v>
      </c>
      <c r="E231">
        <v>0</v>
      </c>
      <c r="F231" t="s">
        <v>31</v>
      </c>
      <c r="G231" t="s">
        <v>14</v>
      </c>
      <c r="H231" t="s">
        <v>15</v>
      </c>
      <c r="I231">
        <v>0</v>
      </c>
      <c r="J231" t="s">
        <v>16</v>
      </c>
      <c r="K231" t="s">
        <v>17</v>
      </c>
      <c r="L231">
        <v>36</v>
      </c>
      <c r="M231" t="s">
        <v>47</v>
      </c>
      <c r="N231" t="s">
        <v>15</v>
      </c>
    </row>
    <row r="232" spans="1:14" x14ac:dyDescent="0.35">
      <c r="A232">
        <v>20839</v>
      </c>
      <c r="B232" t="s">
        <v>37</v>
      </c>
      <c r="C232" t="s">
        <v>38</v>
      </c>
      <c r="D232">
        <v>30000</v>
      </c>
      <c r="E232">
        <v>3</v>
      </c>
      <c r="F232" t="s">
        <v>31</v>
      </c>
      <c r="G232" t="s">
        <v>20</v>
      </c>
      <c r="H232" t="s">
        <v>15</v>
      </c>
      <c r="I232">
        <v>0</v>
      </c>
      <c r="J232" t="s">
        <v>16</v>
      </c>
      <c r="K232" t="s">
        <v>17</v>
      </c>
      <c r="L232">
        <v>47</v>
      </c>
      <c r="M232" t="s">
        <v>47</v>
      </c>
      <c r="N232" t="s">
        <v>15</v>
      </c>
    </row>
    <row r="233" spans="1:14" x14ac:dyDescent="0.35">
      <c r="A233">
        <v>14777</v>
      </c>
      <c r="B233" t="s">
        <v>36</v>
      </c>
      <c r="C233" t="s">
        <v>38</v>
      </c>
      <c r="D233">
        <v>40000</v>
      </c>
      <c r="E233">
        <v>0</v>
      </c>
      <c r="F233" t="s">
        <v>13</v>
      </c>
      <c r="G233" t="s">
        <v>20</v>
      </c>
      <c r="H233" t="s">
        <v>15</v>
      </c>
      <c r="I233">
        <v>0</v>
      </c>
      <c r="J233" t="s">
        <v>16</v>
      </c>
      <c r="K233" t="s">
        <v>17</v>
      </c>
      <c r="L233">
        <v>38</v>
      </c>
      <c r="M233" t="s">
        <v>47</v>
      </c>
      <c r="N233" t="s">
        <v>15</v>
      </c>
    </row>
    <row r="234" spans="1:14" x14ac:dyDescent="0.35">
      <c r="A234">
        <v>21568</v>
      </c>
      <c r="B234" t="s">
        <v>36</v>
      </c>
      <c r="C234" t="s">
        <v>38</v>
      </c>
      <c r="D234">
        <v>100000</v>
      </c>
      <c r="E234">
        <v>0</v>
      </c>
      <c r="F234" t="s">
        <v>27</v>
      </c>
      <c r="G234" t="s">
        <v>28</v>
      </c>
      <c r="H234" t="s">
        <v>15</v>
      </c>
      <c r="I234">
        <v>4</v>
      </c>
      <c r="J234" t="s">
        <v>44</v>
      </c>
      <c r="K234" t="s">
        <v>24</v>
      </c>
      <c r="L234">
        <v>34</v>
      </c>
      <c r="M234" t="s">
        <v>47</v>
      </c>
      <c r="N234" t="s">
        <v>15</v>
      </c>
    </row>
    <row r="235" spans="1:14" x14ac:dyDescent="0.35">
      <c r="A235">
        <v>11249</v>
      </c>
      <c r="B235" t="s">
        <v>36</v>
      </c>
      <c r="C235" t="s">
        <v>38</v>
      </c>
      <c r="D235">
        <v>130000</v>
      </c>
      <c r="E235">
        <v>3</v>
      </c>
      <c r="F235" t="s">
        <v>19</v>
      </c>
      <c r="G235" t="s">
        <v>21</v>
      </c>
      <c r="H235" t="s">
        <v>15</v>
      </c>
      <c r="I235">
        <v>3</v>
      </c>
      <c r="J235" t="s">
        <v>16</v>
      </c>
      <c r="K235" t="s">
        <v>17</v>
      </c>
      <c r="L235">
        <v>51</v>
      </c>
      <c r="M235" t="s">
        <v>47</v>
      </c>
      <c r="N235" t="s">
        <v>15</v>
      </c>
    </row>
    <row r="236" spans="1:14" x14ac:dyDescent="0.35">
      <c r="A236">
        <v>19057</v>
      </c>
      <c r="B236" t="s">
        <v>36</v>
      </c>
      <c r="C236" t="s">
        <v>38</v>
      </c>
      <c r="D236">
        <v>120000</v>
      </c>
      <c r="E236">
        <v>3</v>
      </c>
      <c r="F236" t="s">
        <v>13</v>
      </c>
      <c r="G236" t="s">
        <v>28</v>
      </c>
      <c r="H236" t="s">
        <v>18</v>
      </c>
      <c r="I236">
        <v>2</v>
      </c>
      <c r="J236" t="s">
        <v>44</v>
      </c>
      <c r="K236" t="s">
        <v>17</v>
      </c>
      <c r="L236">
        <v>52</v>
      </c>
      <c r="M236" t="s">
        <v>47</v>
      </c>
      <c r="N236" t="s">
        <v>15</v>
      </c>
    </row>
    <row r="237" spans="1:14" x14ac:dyDescent="0.35">
      <c r="A237">
        <v>11340</v>
      </c>
      <c r="B237" t="s">
        <v>36</v>
      </c>
      <c r="C237" t="s">
        <v>38</v>
      </c>
      <c r="D237">
        <v>10000</v>
      </c>
      <c r="E237">
        <v>1</v>
      </c>
      <c r="F237" t="s">
        <v>31</v>
      </c>
      <c r="G237" t="s">
        <v>20</v>
      </c>
      <c r="H237" t="s">
        <v>15</v>
      </c>
      <c r="I237">
        <v>0</v>
      </c>
      <c r="J237" t="s">
        <v>16</v>
      </c>
      <c r="K237" t="s">
        <v>17</v>
      </c>
      <c r="L237">
        <v>70</v>
      </c>
      <c r="M237" t="s">
        <v>48</v>
      </c>
      <c r="N237" t="s">
        <v>15</v>
      </c>
    </row>
    <row r="238" spans="1:14" x14ac:dyDescent="0.35">
      <c r="A238">
        <v>25693</v>
      </c>
      <c r="B238" t="s">
        <v>37</v>
      </c>
      <c r="C238" t="s">
        <v>38</v>
      </c>
      <c r="D238">
        <v>30000</v>
      </c>
      <c r="E238">
        <v>5</v>
      </c>
      <c r="F238" t="s">
        <v>31</v>
      </c>
      <c r="G238" t="s">
        <v>20</v>
      </c>
      <c r="H238" t="s">
        <v>15</v>
      </c>
      <c r="I238">
        <v>0</v>
      </c>
      <c r="J238" t="s">
        <v>16</v>
      </c>
      <c r="K238" t="s">
        <v>17</v>
      </c>
      <c r="L238">
        <v>44</v>
      </c>
      <c r="M238" t="s">
        <v>47</v>
      </c>
      <c r="N238" t="s">
        <v>15</v>
      </c>
    </row>
    <row r="239" spans="1:14" x14ac:dyDescent="0.35">
      <c r="A239">
        <v>25555</v>
      </c>
      <c r="B239" t="s">
        <v>36</v>
      </c>
      <c r="C239" t="s">
        <v>38</v>
      </c>
      <c r="D239">
        <v>10000</v>
      </c>
      <c r="E239">
        <v>0</v>
      </c>
      <c r="F239" t="s">
        <v>19</v>
      </c>
      <c r="G239" t="s">
        <v>25</v>
      </c>
      <c r="H239" t="s">
        <v>18</v>
      </c>
      <c r="I239">
        <v>1</v>
      </c>
      <c r="J239" t="s">
        <v>16</v>
      </c>
      <c r="K239" t="s">
        <v>24</v>
      </c>
      <c r="L239">
        <v>26</v>
      </c>
      <c r="M239" t="s">
        <v>46</v>
      </c>
      <c r="N239" t="s">
        <v>15</v>
      </c>
    </row>
    <row r="240" spans="1:14" x14ac:dyDescent="0.35">
      <c r="A240">
        <v>20060</v>
      </c>
      <c r="B240" t="s">
        <v>37</v>
      </c>
      <c r="C240" t="s">
        <v>38</v>
      </c>
      <c r="D240">
        <v>30000</v>
      </c>
      <c r="E240">
        <v>0</v>
      </c>
      <c r="F240" t="s">
        <v>27</v>
      </c>
      <c r="G240" t="s">
        <v>25</v>
      </c>
      <c r="H240" t="s">
        <v>18</v>
      </c>
      <c r="I240">
        <v>1</v>
      </c>
      <c r="J240" t="s">
        <v>22</v>
      </c>
      <c r="K240" t="s">
        <v>17</v>
      </c>
      <c r="L240">
        <v>34</v>
      </c>
      <c r="M240" t="s">
        <v>47</v>
      </c>
      <c r="N240"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0"/>
  <sheetViews>
    <sheetView workbookViewId="0">
      <selection sqref="A1:N240"/>
    </sheetView>
  </sheetViews>
  <sheetFormatPr defaultRowHeight="14.5" x14ac:dyDescent="0.35"/>
  <cols>
    <col min="2" max="2" width="14.6328125" customWidth="1"/>
    <col min="3" max="4" width="9" customWidth="1"/>
    <col min="5" max="5" width="9.81640625" customWidth="1"/>
    <col min="6" max="6" width="11.1796875" customWidth="1"/>
    <col min="7" max="7" width="12.36328125" customWidth="1"/>
    <col min="8" max="8" width="13.90625" customWidth="1"/>
    <col min="10" max="10" width="18.7265625" customWidth="1"/>
    <col min="13" max="13" width="12" customWidth="1"/>
    <col min="14" max="14" width="15.54296875" customWidth="1"/>
  </cols>
  <sheetData>
    <row r="1" spans="1:14" x14ac:dyDescent="0.35">
      <c r="A1" t="s">
        <v>0</v>
      </c>
      <c r="B1" t="s">
        <v>40</v>
      </c>
      <c r="C1" t="s">
        <v>2</v>
      </c>
      <c r="D1" t="s">
        <v>3</v>
      </c>
      <c r="E1" t="s">
        <v>4</v>
      </c>
      <c r="F1" t="s">
        <v>5</v>
      </c>
      <c r="G1" t="s">
        <v>6</v>
      </c>
      <c r="H1" t="s">
        <v>7</v>
      </c>
      <c r="I1" t="s">
        <v>8</v>
      </c>
      <c r="J1" t="s">
        <v>9</v>
      </c>
      <c r="K1" t="s">
        <v>10</v>
      </c>
      <c r="L1" t="s">
        <v>11</v>
      </c>
      <c r="M1" t="s">
        <v>50</v>
      </c>
      <c r="N1" t="s">
        <v>12</v>
      </c>
    </row>
    <row r="2" spans="1:14" x14ac:dyDescent="0.35">
      <c r="A2">
        <v>19117</v>
      </c>
      <c r="B2" t="s">
        <v>37</v>
      </c>
      <c r="C2" t="s">
        <v>38</v>
      </c>
      <c r="D2">
        <v>60000</v>
      </c>
      <c r="E2">
        <v>1</v>
      </c>
      <c r="F2" t="s">
        <v>31</v>
      </c>
      <c r="G2" t="s">
        <v>21</v>
      </c>
      <c r="H2" t="s">
        <v>15</v>
      </c>
      <c r="I2">
        <v>0</v>
      </c>
      <c r="J2" t="s">
        <v>22</v>
      </c>
      <c r="K2" t="s">
        <v>32</v>
      </c>
      <c r="L2">
        <v>36</v>
      </c>
      <c r="M2" t="s">
        <v>47</v>
      </c>
      <c r="N2" t="s">
        <v>15</v>
      </c>
    </row>
    <row r="3" spans="1:14" x14ac:dyDescent="0.35">
      <c r="A3">
        <v>18594</v>
      </c>
      <c r="B3" t="s">
        <v>37</v>
      </c>
      <c r="C3" t="s">
        <v>38</v>
      </c>
      <c r="D3">
        <v>80000</v>
      </c>
      <c r="E3">
        <v>3</v>
      </c>
      <c r="F3" t="s">
        <v>13</v>
      </c>
      <c r="G3" t="s">
        <v>14</v>
      </c>
      <c r="H3" t="s">
        <v>15</v>
      </c>
      <c r="I3">
        <v>3</v>
      </c>
      <c r="J3" t="s">
        <v>44</v>
      </c>
      <c r="K3" t="s">
        <v>32</v>
      </c>
      <c r="L3">
        <v>40</v>
      </c>
      <c r="M3" t="s">
        <v>47</v>
      </c>
      <c r="N3" t="s">
        <v>15</v>
      </c>
    </row>
    <row r="4" spans="1:14" x14ac:dyDescent="0.35">
      <c r="A4">
        <v>23818</v>
      </c>
      <c r="B4" t="s">
        <v>36</v>
      </c>
      <c r="C4" t="s">
        <v>38</v>
      </c>
      <c r="D4">
        <v>50000</v>
      </c>
      <c r="E4">
        <v>0</v>
      </c>
      <c r="F4" t="s">
        <v>31</v>
      </c>
      <c r="G4" t="s">
        <v>14</v>
      </c>
      <c r="H4" t="s">
        <v>15</v>
      </c>
      <c r="I4">
        <v>0</v>
      </c>
      <c r="J4" t="s">
        <v>26</v>
      </c>
      <c r="K4" t="s">
        <v>32</v>
      </c>
      <c r="L4">
        <v>33</v>
      </c>
      <c r="M4" t="s">
        <v>47</v>
      </c>
      <c r="N4" t="s">
        <v>15</v>
      </c>
    </row>
    <row r="5" spans="1:14" x14ac:dyDescent="0.35">
      <c r="A5">
        <v>16007</v>
      </c>
      <c r="B5" t="s">
        <v>36</v>
      </c>
      <c r="C5" t="s">
        <v>38</v>
      </c>
      <c r="D5">
        <v>90000</v>
      </c>
      <c r="E5">
        <v>5</v>
      </c>
      <c r="F5" t="s">
        <v>13</v>
      </c>
      <c r="G5" t="s">
        <v>28</v>
      </c>
      <c r="H5" t="s">
        <v>15</v>
      </c>
      <c r="I5">
        <v>2</v>
      </c>
      <c r="J5" t="s">
        <v>26</v>
      </c>
      <c r="K5" t="s">
        <v>32</v>
      </c>
      <c r="L5">
        <v>66</v>
      </c>
      <c r="M5" t="s">
        <v>48</v>
      </c>
      <c r="N5" t="s">
        <v>15</v>
      </c>
    </row>
    <row r="6" spans="1:14" x14ac:dyDescent="0.35">
      <c r="A6">
        <v>13886</v>
      </c>
      <c r="B6" t="s">
        <v>36</v>
      </c>
      <c r="C6" t="s">
        <v>38</v>
      </c>
      <c r="D6">
        <v>70000</v>
      </c>
      <c r="E6">
        <v>4</v>
      </c>
      <c r="F6" t="s">
        <v>31</v>
      </c>
      <c r="G6" t="s">
        <v>21</v>
      </c>
      <c r="H6" t="s">
        <v>15</v>
      </c>
      <c r="I6">
        <v>0</v>
      </c>
      <c r="J6" t="s">
        <v>22</v>
      </c>
      <c r="K6" t="s">
        <v>32</v>
      </c>
      <c r="L6">
        <v>35</v>
      </c>
      <c r="M6" t="s">
        <v>47</v>
      </c>
      <c r="N6" t="s">
        <v>15</v>
      </c>
    </row>
    <row r="7" spans="1:14" x14ac:dyDescent="0.35">
      <c r="A7">
        <v>17654</v>
      </c>
      <c r="B7" t="s">
        <v>37</v>
      </c>
      <c r="C7" t="s">
        <v>38</v>
      </c>
      <c r="D7">
        <v>40000</v>
      </c>
      <c r="E7">
        <v>3</v>
      </c>
      <c r="F7" t="s">
        <v>19</v>
      </c>
      <c r="G7" t="s">
        <v>20</v>
      </c>
      <c r="H7" t="s">
        <v>15</v>
      </c>
      <c r="I7">
        <v>1</v>
      </c>
      <c r="J7" t="s">
        <v>26</v>
      </c>
      <c r="K7" t="s">
        <v>32</v>
      </c>
      <c r="L7">
        <v>30</v>
      </c>
      <c r="M7" t="s">
        <v>46</v>
      </c>
      <c r="N7" t="s">
        <v>15</v>
      </c>
    </row>
    <row r="8" spans="1:14" x14ac:dyDescent="0.35">
      <c r="A8">
        <v>11303</v>
      </c>
      <c r="B8" t="s">
        <v>37</v>
      </c>
      <c r="C8" t="s">
        <v>38</v>
      </c>
      <c r="D8">
        <v>90000</v>
      </c>
      <c r="E8">
        <v>4</v>
      </c>
      <c r="F8" t="s">
        <v>27</v>
      </c>
      <c r="G8" t="s">
        <v>21</v>
      </c>
      <c r="H8" t="s">
        <v>18</v>
      </c>
      <c r="I8">
        <v>3</v>
      </c>
      <c r="J8" t="s">
        <v>26</v>
      </c>
      <c r="K8" t="s">
        <v>32</v>
      </c>
      <c r="L8">
        <v>45</v>
      </c>
      <c r="M8" t="s">
        <v>47</v>
      </c>
      <c r="N8" t="s">
        <v>15</v>
      </c>
    </row>
    <row r="9" spans="1:14" x14ac:dyDescent="0.35">
      <c r="A9">
        <v>13343</v>
      </c>
      <c r="B9" t="s">
        <v>36</v>
      </c>
      <c r="C9" t="s">
        <v>38</v>
      </c>
      <c r="D9">
        <v>90000</v>
      </c>
      <c r="E9">
        <v>5</v>
      </c>
      <c r="F9" t="s">
        <v>13</v>
      </c>
      <c r="G9" t="s">
        <v>28</v>
      </c>
      <c r="H9" t="s">
        <v>15</v>
      </c>
      <c r="I9">
        <v>2</v>
      </c>
      <c r="J9" t="s">
        <v>26</v>
      </c>
      <c r="K9" t="s">
        <v>32</v>
      </c>
      <c r="L9">
        <v>63</v>
      </c>
      <c r="M9" t="s">
        <v>48</v>
      </c>
      <c r="N9" t="s">
        <v>15</v>
      </c>
    </row>
    <row r="10" spans="1:14" x14ac:dyDescent="0.35">
      <c r="A10">
        <v>26298</v>
      </c>
      <c r="B10" t="s">
        <v>36</v>
      </c>
      <c r="C10" t="s">
        <v>38</v>
      </c>
      <c r="D10">
        <v>50000</v>
      </c>
      <c r="E10">
        <v>1</v>
      </c>
      <c r="F10" t="s">
        <v>13</v>
      </c>
      <c r="G10" t="s">
        <v>14</v>
      </c>
      <c r="H10" t="s">
        <v>15</v>
      </c>
      <c r="I10">
        <v>0</v>
      </c>
      <c r="J10" t="s">
        <v>22</v>
      </c>
      <c r="K10" t="s">
        <v>32</v>
      </c>
      <c r="L10">
        <v>34</v>
      </c>
      <c r="M10" t="s">
        <v>47</v>
      </c>
      <c r="N10" t="s">
        <v>15</v>
      </c>
    </row>
    <row r="11" spans="1:14" x14ac:dyDescent="0.35">
      <c r="A11">
        <v>21587</v>
      </c>
      <c r="B11" t="s">
        <v>36</v>
      </c>
      <c r="C11" t="s">
        <v>38</v>
      </c>
      <c r="D11">
        <v>60000</v>
      </c>
      <c r="E11">
        <v>1</v>
      </c>
      <c r="F11" t="s">
        <v>31</v>
      </c>
      <c r="G11" t="s">
        <v>14</v>
      </c>
      <c r="H11" t="s">
        <v>15</v>
      </c>
      <c r="I11">
        <v>0</v>
      </c>
      <c r="J11" t="s">
        <v>22</v>
      </c>
      <c r="K11" t="s">
        <v>32</v>
      </c>
      <c r="L11">
        <v>34</v>
      </c>
      <c r="M11" t="s">
        <v>47</v>
      </c>
      <c r="N11" t="s">
        <v>15</v>
      </c>
    </row>
    <row r="12" spans="1:14" x14ac:dyDescent="0.35">
      <c r="A12">
        <v>22173</v>
      </c>
      <c r="B12" t="s">
        <v>36</v>
      </c>
      <c r="C12" t="s">
        <v>38</v>
      </c>
      <c r="D12">
        <v>30000</v>
      </c>
      <c r="E12">
        <v>3</v>
      </c>
      <c r="F12" t="s">
        <v>27</v>
      </c>
      <c r="G12" t="s">
        <v>14</v>
      </c>
      <c r="H12" t="s">
        <v>18</v>
      </c>
      <c r="I12">
        <v>2</v>
      </c>
      <c r="J12" t="s">
        <v>26</v>
      </c>
      <c r="K12" t="s">
        <v>24</v>
      </c>
      <c r="L12">
        <v>54</v>
      </c>
      <c r="M12" t="s">
        <v>48</v>
      </c>
      <c r="N12" t="s">
        <v>15</v>
      </c>
    </row>
    <row r="13" spans="1:14" x14ac:dyDescent="0.35">
      <c r="A13">
        <v>18050</v>
      </c>
      <c r="B13" t="s">
        <v>36</v>
      </c>
      <c r="C13" t="s">
        <v>38</v>
      </c>
      <c r="D13">
        <v>60000</v>
      </c>
      <c r="E13">
        <v>1</v>
      </c>
      <c r="F13" t="s">
        <v>19</v>
      </c>
      <c r="G13" t="s">
        <v>14</v>
      </c>
      <c r="H13" t="s">
        <v>15</v>
      </c>
      <c r="I13">
        <v>1</v>
      </c>
      <c r="J13" t="s">
        <v>16</v>
      </c>
      <c r="K13" t="s">
        <v>32</v>
      </c>
      <c r="L13">
        <v>45</v>
      </c>
      <c r="M13" t="s">
        <v>47</v>
      </c>
      <c r="N13" t="s">
        <v>15</v>
      </c>
    </row>
    <row r="14" spans="1:14" x14ac:dyDescent="0.35">
      <c r="A14">
        <v>12033</v>
      </c>
      <c r="B14" t="s">
        <v>37</v>
      </c>
      <c r="C14" t="s">
        <v>38</v>
      </c>
      <c r="D14">
        <v>40000</v>
      </c>
      <c r="E14">
        <v>0</v>
      </c>
      <c r="F14" t="s">
        <v>27</v>
      </c>
      <c r="G14" t="s">
        <v>14</v>
      </c>
      <c r="H14" t="s">
        <v>18</v>
      </c>
      <c r="I14">
        <v>2</v>
      </c>
      <c r="J14" t="s">
        <v>16</v>
      </c>
      <c r="K14" t="s">
        <v>32</v>
      </c>
      <c r="L14">
        <v>27</v>
      </c>
      <c r="M14" t="s">
        <v>46</v>
      </c>
      <c r="N14" t="s">
        <v>15</v>
      </c>
    </row>
    <row r="15" spans="1:14" x14ac:dyDescent="0.35">
      <c r="A15">
        <v>14914</v>
      </c>
      <c r="B15" t="s">
        <v>36</v>
      </c>
      <c r="C15" t="s">
        <v>38</v>
      </c>
      <c r="D15">
        <v>40000</v>
      </c>
      <c r="E15">
        <v>1</v>
      </c>
      <c r="F15" t="s">
        <v>19</v>
      </c>
      <c r="G15" t="s">
        <v>20</v>
      </c>
      <c r="H15" t="s">
        <v>15</v>
      </c>
      <c r="I15">
        <v>1</v>
      </c>
      <c r="J15" t="s">
        <v>26</v>
      </c>
      <c r="K15" t="s">
        <v>32</v>
      </c>
      <c r="L15">
        <v>49</v>
      </c>
      <c r="M15" t="s">
        <v>47</v>
      </c>
      <c r="N15" t="s">
        <v>15</v>
      </c>
    </row>
    <row r="16" spans="1:14" x14ac:dyDescent="0.35">
      <c r="A16">
        <v>15862</v>
      </c>
      <c r="B16" t="s">
        <v>37</v>
      </c>
      <c r="C16" t="s">
        <v>38</v>
      </c>
      <c r="D16">
        <v>50000</v>
      </c>
      <c r="E16">
        <v>0</v>
      </c>
      <c r="F16" t="s">
        <v>31</v>
      </c>
      <c r="G16" t="s">
        <v>14</v>
      </c>
      <c r="H16" t="s">
        <v>15</v>
      </c>
      <c r="I16">
        <v>0</v>
      </c>
      <c r="J16" t="s">
        <v>26</v>
      </c>
      <c r="K16" t="s">
        <v>32</v>
      </c>
      <c r="L16">
        <v>33</v>
      </c>
      <c r="M16" t="s">
        <v>47</v>
      </c>
      <c r="N16" t="s">
        <v>15</v>
      </c>
    </row>
    <row r="17" spans="1:14" x14ac:dyDescent="0.35">
      <c r="A17">
        <v>20870</v>
      </c>
      <c r="B17" t="s">
        <v>37</v>
      </c>
      <c r="C17" t="s">
        <v>38</v>
      </c>
      <c r="D17">
        <v>10000</v>
      </c>
      <c r="E17">
        <v>2</v>
      </c>
      <c r="F17" t="s">
        <v>27</v>
      </c>
      <c r="G17" t="s">
        <v>25</v>
      </c>
      <c r="H17" t="s">
        <v>15</v>
      </c>
      <c r="I17">
        <v>1</v>
      </c>
      <c r="J17" t="s">
        <v>16</v>
      </c>
      <c r="K17" t="s">
        <v>17</v>
      </c>
      <c r="L17">
        <v>38</v>
      </c>
      <c r="M17" t="s">
        <v>47</v>
      </c>
      <c r="N17" t="s">
        <v>15</v>
      </c>
    </row>
    <row r="18" spans="1:14" x14ac:dyDescent="0.35">
      <c r="A18">
        <v>16895</v>
      </c>
      <c r="B18" t="s">
        <v>36</v>
      </c>
      <c r="C18" t="s">
        <v>38</v>
      </c>
      <c r="D18">
        <v>40000</v>
      </c>
      <c r="E18">
        <v>3</v>
      </c>
      <c r="F18" t="s">
        <v>19</v>
      </c>
      <c r="G18" t="s">
        <v>21</v>
      </c>
      <c r="H18" t="s">
        <v>18</v>
      </c>
      <c r="I18">
        <v>2</v>
      </c>
      <c r="J18" t="s">
        <v>26</v>
      </c>
      <c r="K18" t="s">
        <v>32</v>
      </c>
      <c r="L18">
        <v>54</v>
      </c>
      <c r="M18" t="s">
        <v>48</v>
      </c>
      <c r="N18" t="s">
        <v>15</v>
      </c>
    </row>
    <row r="19" spans="1:14" x14ac:dyDescent="0.35">
      <c r="A19">
        <v>12153</v>
      </c>
      <c r="B19" t="s">
        <v>37</v>
      </c>
      <c r="C19" t="s">
        <v>38</v>
      </c>
      <c r="D19">
        <v>70000</v>
      </c>
      <c r="E19">
        <v>3</v>
      </c>
      <c r="F19" t="s">
        <v>19</v>
      </c>
      <c r="G19" t="s">
        <v>21</v>
      </c>
      <c r="H19" t="s">
        <v>15</v>
      </c>
      <c r="I19">
        <v>1</v>
      </c>
      <c r="J19" t="s">
        <v>23</v>
      </c>
      <c r="K19" t="s">
        <v>32</v>
      </c>
      <c r="L19">
        <v>49</v>
      </c>
      <c r="M19" t="s">
        <v>47</v>
      </c>
      <c r="N19" t="s">
        <v>15</v>
      </c>
    </row>
    <row r="20" spans="1:14" x14ac:dyDescent="0.35">
      <c r="A20">
        <v>22042</v>
      </c>
      <c r="B20" t="s">
        <v>36</v>
      </c>
      <c r="C20" t="s">
        <v>38</v>
      </c>
      <c r="D20">
        <v>70000</v>
      </c>
      <c r="E20">
        <v>0</v>
      </c>
      <c r="F20" t="s">
        <v>19</v>
      </c>
      <c r="G20" t="s">
        <v>14</v>
      </c>
      <c r="H20" t="s">
        <v>15</v>
      </c>
      <c r="I20">
        <v>2</v>
      </c>
      <c r="J20" t="s">
        <v>23</v>
      </c>
      <c r="K20" t="s">
        <v>32</v>
      </c>
      <c r="L20">
        <v>34</v>
      </c>
      <c r="M20" t="s">
        <v>47</v>
      </c>
      <c r="N20" t="s">
        <v>15</v>
      </c>
    </row>
    <row r="21" spans="1:14" x14ac:dyDescent="0.35">
      <c r="A21">
        <v>26305</v>
      </c>
      <c r="B21" t="s">
        <v>37</v>
      </c>
      <c r="C21" t="s">
        <v>38</v>
      </c>
      <c r="D21">
        <v>60000</v>
      </c>
      <c r="E21">
        <v>2</v>
      </c>
      <c r="F21" t="s">
        <v>13</v>
      </c>
      <c r="G21" t="s">
        <v>14</v>
      </c>
      <c r="H21" t="s">
        <v>18</v>
      </c>
      <c r="I21">
        <v>0</v>
      </c>
      <c r="J21" t="s">
        <v>16</v>
      </c>
      <c r="K21" t="s">
        <v>32</v>
      </c>
      <c r="L21">
        <v>36</v>
      </c>
      <c r="M21" t="s">
        <v>47</v>
      </c>
      <c r="N21" t="s">
        <v>15</v>
      </c>
    </row>
    <row r="22" spans="1:14" x14ac:dyDescent="0.35">
      <c r="A22">
        <v>25598</v>
      </c>
      <c r="B22" t="s">
        <v>36</v>
      </c>
      <c r="C22" t="s">
        <v>38</v>
      </c>
      <c r="D22">
        <v>40000</v>
      </c>
      <c r="E22">
        <v>0</v>
      </c>
      <c r="F22" t="s">
        <v>31</v>
      </c>
      <c r="G22" t="s">
        <v>20</v>
      </c>
      <c r="H22" t="s">
        <v>15</v>
      </c>
      <c r="I22">
        <v>0</v>
      </c>
      <c r="J22" t="s">
        <v>16</v>
      </c>
      <c r="K22" t="s">
        <v>17</v>
      </c>
      <c r="L22">
        <v>36</v>
      </c>
      <c r="M22" t="s">
        <v>47</v>
      </c>
      <c r="N22" t="s">
        <v>15</v>
      </c>
    </row>
    <row r="23" spans="1:14" x14ac:dyDescent="0.35">
      <c r="A23">
        <v>18607</v>
      </c>
      <c r="B23" t="s">
        <v>37</v>
      </c>
      <c r="C23" t="s">
        <v>38</v>
      </c>
      <c r="D23">
        <v>60000</v>
      </c>
      <c r="E23">
        <v>4</v>
      </c>
      <c r="F23" t="s">
        <v>13</v>
      </c>
      <c r="G23" t="s">
        <v>14</v>
      </c>
      <c r="H23" t="s">
        <v>15</v>
      </c>
      <c r="I23">
        <v>2</v>
      </c>
      <c r="J23" t="s">
        <v>22</v>
      </c>
      <c r="K23" t="s">
        <v>32</v>
      </c>
      <c r="L23">
        <v>42</v>
      </c>
      <c r="M23" t="s">
        <v>47</v>
      </c>
      <c r="N23" t="s">
        <v>15</v>
      </c>
    </row>
    <row r="24" spans="1:14" x14ac:dyDescent="0.35">
      <c r="A24">
        <v>21583</v>
      </c>
      <c r="B24" t="s">
        <v>36</v>
      </c>
      <c r="C24" t="s">
        <v>38</v>
      </c>
      <c r="D24">
        <v>50000</v>
      </c>
      <c r="E24">
        <v>1</v>
      </c>
      <c r="F24" t="s">
        <v>13</v>
      </c>
      <c r="G24" t="s">
        <v>14</v>
      </c>
      <c r="H24" t="s">
        <v>15</v>
      </c>
      <c r="I24">
        <v>0</v>
      </c>
      <c r="J24" t="s">
        <v>16</v>
      </c>
      <c r="K24" t="s">
        <v>32</v>
      </c>
      <c r="L24">
        <v>34</v>
      </c>
      <c r="M24" t="s">
        <v>47</v>
      </c>
      <c r="N24" t="s">
        <v>15</v>
      </c>
    </row>
    <row r="25" spans="1:14" x14ac:dyDescent="0.35">
      <c r="A25">
        <v>20401</v>
      </c>
      <c r="B25" t="s">
        <v>36</v>
      </c>
      <c r="C25" t="s">
        <v>38</v>
      </c>
      <c r="D25">
        <v>50000</v>
      </c>
      <c r="E25">
        <v>4</v>
      </c>
      <c r="F25" t="s">
        <v>13</v>
      </c>
      <c r="G25" t="s">
        <v>28</v>
      </c>
      <c r="H25" t="s">
        <v>15</v>
      </c>
      <c r="I25">
        <v>2</v>
      </c>
      <c r="J25" t="s">
        <v>26</v>
      </c>
      <c r="K25" t="s">
        <v>32</v>
      </c>
      <c r="L25">
        <v>64</v>
      </c>
      <c r="M25" t="s">
        <v>48</v>
      </c>
      <c r="N25" t="s">
        <v>15</v>
      </c>
    </row>
    <row r="26" spans="1:14" x14ac:dyDescent="0.35">
      <c r="A26">
        <v>17000</v>
      </c>
      <c r="B26" t="s">
        <v>37</v>
      </c>
      <c r="C26" t="s">
        <v>38</v>
      </c>
      <c r="D26">
        <v>70000</v>
      </c>
      <c r="E26">
        <v>4</v>
      </c>
      <c r="F26" t="s">
        <v>13</v>
      </c>
      <c r="G26" t="s">
        <v>14</v>
      </c>
      <c r="H26" t="s">
        <v>15</v>
      </c>
      <c r="I26">
        <v>2</v>
      </c>
      <c r="J26" t="s">
        <v>22</v>
      </c>
      <c r="K26" t="s">
        <v>32</v>
      </c>
      <c r="L26">
        <v>43</v>
      </c>
      <c r="M26" t="s">
        <v>47</v>
      </c>
      <c r="N26" t="s">
        <v>15</v>
      </c>
    </row>
    <row r="27" spans="1:14" x14ac:dyDescent="0.35">
      <c r="A27">
        <v>27074</v>
      </c>
      <c r="B27" t="s">
        <v>36</v>
      </c>
      <c r="C27" t="s">
        <v>38</v>
      </c>
      <c r="D27">
        <v>70000</v>
      </c>
      <c r="E27">
        <v>1</v>
      </c>
      <c r="F27" t="s">
        <v>31</v>
      </c>
      <c r="G27" t="s">
        <v>14</v>
      </c>
      <c r="H27" t="s">
        <v>15</v>
      </c>
      <c r="I27">
        <v>0</v>
      </c>
      <c r="J27" t="s">
        <v>16</v>
      </c>
      <c r="K27" t="s">
        <v>32</v>
      </c>
      <c r="L27">
        <v>35</v>
      </c>
      <c r="M27" t="s">
        <v>47</v>
      </c>
      <c r="N27" t="s">
        <v>15</v>
      </c>
    </row>
    <row r="28" spans="1:14" x14ac:dyDescent="0.35">
      <c r="A28">
        <v>16151</v>
      </c>
      <c r="B28" t="s">
        <v>36</v>
      </c>
      <c r="C28" t="s">
        <v>38</v>
      </c>
      <c r="D28">
        <v>60000</v>
      </c>
      <c r="E28">
        <v>1</v>
      </c>
      <c r="F28" t="s">
        <v>13</v>
      </c>
      <c r="G28" t="s">
        <v>21</v>
      </c>
      <c r="H28" t="s">
        <v>15</v>
      </c>
      <c r="I28">
        <v>1</v>
      </c>
      <c r="J28" t="s">
        <v>22</v>
      </c>
      <c r="K28" t="s">
        <v>32</v>
      </c>
      <c r="L28">
        <v>48</v>
      </c>
      <c r="M28" t="s">
        <v>47</v>
      </c>
      <c r="N28" t="s">
        <v>15</v>
      </c>
    </row>
    <row r="29" spans="1:14" x14ac:dyDescent="0.35">
      <c r="A29">
        <v>11275</v>
      </c>
      <c r="B29" t="s">
        <v>36</v>
      </c>
      <c r="C29" t="s">
        <v>38</v>
      </c>
      <c r="D29">
        <v>80000</v>
      </c>
      <c r="E29">
        <v>4</v>
      </c>
      <c r="F29" t="s">
        <v>31</v>
      </c>
      <c r="G29" t="s">
        <v>28</v>
      </c>
      <c r="H29" t="s">
        <v>15</v>
      </c>
      <c r="I29">
        <v>2</v>
      </c>
      <c r="J29" t="s">
        <v>16</v>
      </c>
      <c r="K29" t="s">
        <v>32</v>
      </c>
      <c r="L29">
        <v>72</v>
      </c>
      <c r="M29" t="s">
        <v>48</v>
      </c>
      <c r="N29" t="s">
        <v>15</v>
      </c>
    </row>
    <row r="30" spans="1:14" x14ac:dyDescent="0.35">
      <c r="A30">
        <v>27279</v>
      </c>
      <c r="B30" t="s">
        <v>37</v>
      </c>
      <c r="C30" t="s">
        <v>38</v>
      </c>
      <c r="D30">
        <v>70000</v>
      </c>
      <c r="E30">
        <v>2</v>
      </c>
      <c r="F30" t="s">
        <v>13</v>
      </c>
      <c r="G30" t="s">
        <v>14</v>
      </c>
      <c r="H30" t="s">
        <v>15</v>
      </c>
      <c r="I30">
        <v>0</v>
      </c>
      <c r="J30" t="s">
        <v>22</v>
      </c>
      <c r="K30" t="s">
        <v>32</v>
      </c>
      <c r="L30">
        <v>38</v>
      </c>
      <c r="M30" t="s">
        <v>47</v>
      </c>
      <c r="N30" t="s">
        <v>15</v>
      </c>
    </row>
    <row r="31" spans="1:14" x14ac:dyDescent="0.35">
      <c r="A31">
        <v>16466</v>
      </c>
      <c r="B31" t="s">
        <v>37</v>
      </c>
      <c r="C31" t="s">
        <v>38</v>
      </c>
      <c r="D31">
        <v>20000</v>
      </c>
      <c r="E31">
        <v>0</v>
      </c>
      <c r="F31" t="s">
        <v>29</v>
      </c>
      <c r="G31" t="s">
        <v>25</v>
      </c>
      <c r="H31" t="s">
        <v>18</v>
      </c>
      <c r="I31">
        <v>2</v>
      </c>
      <c r="J31" t="s">
        <v>16</v>
      </c>
      <c r="K31" t="s">
        <v>17</v>
      </c>
      <c r="L31">
        <v>32</v>
      </c>
      <c r="M31" t="s">
        <v>47</v>
      </c>
      <c r="N31" t="s">
        <v>15</v>
      </c>
    </row>
    <row r="32" spans="1:14" x14ac:dyDescent="0.35">
      <c r="A32">
        <v>14883</v>
      </c>
      <c r="B32" t="s">
        <v>36</v>
      </c>
      <c r="C32" t="s">
        <v>38</v>
      </c>
      <c r="D32">
        <v>30000</v>
      </c>
      <c r="E32">
        <v>1</v>
      </c>
      <c r="F32" t="s">
        <v>13</v>
      </c>
      <c r="G32" t="s">
        <v>14</v>
      </c>
      <c r="H32" t="s">
        <v>15</v>
      </c>
      <c r="I32">
        <v>1</v>
      </c>
      <c r="J32" t="s">
        <v>23</v>
      </c>
      <c r="K32" t="s">
        <v>32</v>
      </c>
      <c r="L32">
        <v>53</v>
      </c>
      <c r="M32" t="s">
        <v>47</v>
      </c>
      <c r="N32" t="s">
        <v>15</v>
      </c>
    </row>
    <row r="33" spans="1:14" x14ac:dyDescent="0.35">
      <c r="A33">
        <v>22118</v>
      </c>
      <c r="B33" t="s">
        <v>37</v>
      </c>
      <c r="C33" t="s">
        <v>38</v>
      </c>
      <c r="D33">
        <v>70000</v>
      </c>
      <c r="E33">
        <v>3</v>
      </c>
      <c r="F33" t="s">
        <v>31</v>
      </c>
      <c r="G33" t="s">
        <v>28</v>
      </c>
      <c r="H33" t="s">
        <v>15</v>
      </c>
      <c r="I33">
        <v>2</v>
      </c>
      <c r="J33" t="s">
        <v>23</v>
      </c>
      <c r="K33" t="s">
        <v>32</v>
      </c>
      <c r="L33">
        <v>53</v>
      </c>
      <c r="M33" t="s">
        <v>47</v>
      </c>
      <c r="N33" t="s">
        <v>15</v>
      </c>
    </row>
    <row r="34" spans="1:14" x14ac:dyDescent="0.35">
      <c r="A34">
        <v>22046</v>
      </c>
      <c r="B34" t="s">
        <v>37</v>
      </c>
      <c r="C34" t="s">
        <v>38</v>
      </c>
      <c r="D34">
        <v>80000</v>
      </c>
      <c r="E34">
        <v>0</v>
      </c>
      <c r="F34" t="s">
        <v>13</v>
      </c>
      <c r="G34" t="s">
        <v>28</v>
      </c>
      <c r="H34" t="s">
        <v>18</v>
      </c>
      <c r="I34">
        <v>1</v>
      </c>
      <c r="J34" t="s">
        <v>16</v>
      </c>
      <c r="K34" t="s">
        <v>32</v>
      </c>
      <c r="L34">
        <v>38</v>
      </c>
      <c r="M34" t="s">
        <v>47</v>
      </c>
      <c r="N34" t="s">
        <v>15</v>
      </c>
    </row>
    <row r="35" spans="1:14" x14ac:dyDescent="0.35">
      <c r="A35">
        <v>13714</v>
      </c>
      <c r="B35" t="s">
        <v>36</v>
      </c>
      <c r="C35" t="s">
        <v>38</v>
      </c>
      <c r="D35">
        <v>20000</v>
      </c>
      <c r="E35">
        <v>2</v>
      </c>
      <c r="F35" t="s">
        <v>27</v>
      </c>
      <c r="G35" t="s">
        <v>25</v>
      </c>
      <c r="H35" t="s">
        <v>18</v>
      </c>
      <c r="I35">
        <v>2</v>
      </c>
      <c r="J35" t="s">
        <v>26</v>
      </c>
      <c r="K35" t="s">
        <v>32</v>
      </c>
      <c r="L35">
        <v>53</v>
      </c>
      <c r="M35" t="s">
        <v>47</v>
      </c>
      <c r="N35" t="s">
        <v>15</v>
      </c>
    </row>
    <row r="36" spans="1:14" x14ac:dyDescent="0.35">
      <c r="A36">
        <v>11745</v>
      </c>
      <c r="B36" t="s">
        <v>36</v>
      </c>
      <c r="C36" t="s">
        <v>38</v>
      </c>
      <c r="D36">
        <v>60000</v>
      </c>
      <c r="E36">
        <v>1</v>
      </c>
      <c r="F36" t="s">
        <v>13</v>
      </c>
      <c r="G36" t="s">
        <v>21</v>
      </c>
      <c r="H36" t="s">
        <v>15</v>
      </c>
      <c r="I36">
        <v>1</v>
      </c>
      <c r="J36" t="s">
        <v>16</v>
      </c>
      <c r="K36" t="s">
        <v>32</v>
      </c>
      <c r="L36">
        <v>47</v>
      </c>
      <c r="M36" t="s">
        <v>47</v>
      </c>
      <c r="N36" t="s">
        <v>15</v>
      </c>
    </row>
    <row r="37" spans="1:14" x14ac:dyDescent="0.35">
      <c r="A37">
        <v>15555</v>
      </c>
      <c r="B37" t="s">
        <v>36</v>
      </c>
      <c r="C37" t="s">
        <v>38</v>
      </c>
      <c r="D37">
        <v>60000</v>
      </c>
      <c r="E37">
        <v>1</v>
      </c>
      <c r="F37" t="s">
        <v>19</v>
      </c>
      <c r="G37" t="s">
        <v>14</v>
      </c>
      <c r="H37" t="s">
        <v>15</v>
      </c>
      <c r="I37">
        <v>1</v>
      </c>
      <c r="J37" t="s">
        <v>22</v>
      </c>
      <c r="K37" t="s">
        <v>32</v>
      </c>
      <c r="L37">
        <v>45</v>
      </c>
      <c r="M37" t="s">
        <v>47</v>
      </c>
      <c r="N37" t="s">
        <v>15</v>
      </c>
    </row>
    <row r="38" spans="1:14" x14ac:dyDescent="0.35">
      <c r="A38">
        <v>17891</v>
      </c>
      <c r="B38" t="s">
        <v>36</v>
      </c>
      <c r="C38" t="s">
        <v>38</v>
      </c>
      <c r="D38">
        <v>10000</v>
      </c>
      <c r="E38">
        <v>2</v>
      </c>
      <c r="F38" t="s">
        <v>19</v>
      </c>
      <c r="G38" t="s">
        <v>25</v>
      </c>
      <c r="H38" t="s">
        <v>15</v>
      </c>
      <c r="I38">
        <v>1</v>
      </c>
      <c r="J38" t="s">
        <v>16</v>
      </c>
      <c r="K38" t="s">
        <v>17</v>
      </c>
      <c r="L38">
        <v>50</v>
      </c>
      <c r="M38" t="s">
        <v>47</v>
      </c>
      <c r="N38" t="s">
        <v>15</v>
      </c>
    </row>
    <row r="39" spans="1:14" x14ac:dyDescent="0.35">
      <c r="A39">
        <v>23882</v>
      </c>
      <c r="B39" t="s">
        <v>37</v>
      </c>
      <c r="C39" t="s">
        <v>38</v>
      </c>
      <c r="D39">
        <v>80000</v>
      </c>
      <c r="E39">
        <v>3</v>
      </c>
      <c r="F39" t="s">
        <v>31</v>
      </c>
      <c r="G39" t="s">
        <v>21</v>
      </c>
      <c r="H39" t="s">
        <v>15</v>
      </c>
      <c r="I39">
        <v>0</v>
      </c>
      <c r="J39" t="s">
        <v>16</v>
      </c>
      <c r="K39" t="s">
        <v>32</v>
      </c>
      <c r="L39">
        <v>37</v>
      </c>
      <c r="M39" t="s">
        <v>47</v>
      </c>
      <c r="N39" t="s">
        <v>15</v>
      </c>
    </row>
    <row r="40" spans="1:14" x14ac:dyDescent="0.35">
      <c r="A40">
        <v>19143</v>
      </c>
      <c r="B40" t="s">
        <v>37</v>
      </c>
      <c r="C40" t="s">
        <v>38</v>
      </c>
      <c r="D40">
        <v>80000</v>
      </c>
      <c r="E40">
        <v>3</v>
      </c>
      <c r="F40" t="s">
        <v>13</v>
      </c>
      <c r="G40" t="s">
        <v>14</v>
      </c>
      <c r="H40" t="s">
        <v>15</v>
      </c>
      <c r="I40">
        <v>2</v>
      </c>
      <c r="J40" t="s">
        <v>22</v>
      </c>
      <c r="K40" t="s">
        <v>32</v>
      </c>
      <c r="L40">
        <v>41</v>
      </c>
      <c r="M40" t="s">
        <v>47</v>
      </c>
      <c r="N40" t="s">
        <v>15</v>
      </c>
    </row>
    <row r="41" spans="1:14" x14ac:dyDescent="0.35">
      <c r="A41">
        <v>16259</v>
      </c>
      <c r="B41" t="s">
        <v>37</v>
      </c>
      <c r="C41" t="s">
        <v>38</v>
      </c>
      <c r="D41">
        <v>10000</v>
      </c>
      <c r="E41">
        <v>4</v>
      </c>
      <c r="F41" t="s">
        <v>29</v>
      </c>
      <c r="G41" t="s">
        <v>25</v>
      </c>
      <c r="H41" t="s">
        <v>15</v>
      </c>
      <c r="I41">
        <v>2</v>
      </c>
      <c r="J41" t="s">
        <v>16</v>
      </c>
      <c r="K41" t="s">
        <v>17</v>
      </c>
      <c r="L41">
        <v>40</v>
      </c>
      <c r="M41" t="s">
        <v>47</v>
      </c>
      <c r="N41" t="s">
        <v>15</v>
      </c>
    </row>
    <row r="42" spans="1:14" x14ac:dyDescent="0.35">
      <c r="A42">
        <v>12922</v>
      </c>
      <c r="B42" t="s">
        <v>37</v>
      </c>
      <c r="C42" t="s">
        <v>38</v>
      </c>
      <c r="D42">
        <v>60000</v>
      </c>
      <c r="E42">
        <v>3</v>
      </c>
      <c r="F42" t="s">
        <v>13</v>
      </c>
      <c r="G42" t="s">
        <v>14</v>
      </c>
      <c r="H42" t="s">
        <v>15</v>
      </c>
      <c r="I42">
        <v>0</v>
      </c>
      <c r="J42" t="s">
        <v>22</v>
      </c>
      <c r="K42" t="s">
        <v>32</v>
      </c>
      <c r="L42">
        <v>40</v>
      </c>
      <c r="M42" t="s">
        <v>47</v>
      </c>
      <c r="N42" t="s">
        <v>15</v>
      </c>
    </row>
    <row r="43" spans="1:14" x14ac:dyDescent="0.35">
      <c r="A43">
        <v>14347</v>
      </c>
      <c r="B43" t="s">
        <v>37</v>
      </c>
      <c r="C43" t="s">
        <v>38</v>
      </c>
      <c r="D43">
        <v>40000</v>
      </c>
      <c r="E43">
        <v>2</v>
      </c>
      <c r="F43" t="s">
        <v>13</v>
      </c>
      <c r="G43" t="s">
        <v>28</v>
      </c>
      <c r="H43" t="s">
        <v>15</v>
      </c>
      <c r="I43">
        <v>2</v>
      </c>
      <c r="J43" t="s">
        <v>23</v>
      </c>
      <c r="K43" t="s">
        <v>24</v>
      </c>
      <c r="L43">
        <v>65</v>
      </c>
      <c r="M43" t="s">
        <v>48</v>
      </c>
      <c r="N43" t="s">
        <v>15</v>
      </c>
    </row>
    <row r="44" spans="1:14" x14ac:dyDescent="0.35">
      <c r="A44">
        <v>19889</v>
      </c>
      <c r="B44" t="s">
        <v>37</v>
      </c>
      <c r="C44" t="s">
        <v>38</v>
      </c>
      <c r="D44">
        <v>70000</v>
      </c>
      <c r="E44">
        <v>2</v>
      </c>
      <c r="F44" t="s">
        <v>29</v>
      </c>
      <c r="G44" t="s">
        <v>14</v>
      </c>
      <c r="H44" t="s">
        <v>18</v>
      </c>
      <c r="I44">
        <v>2</v>
      </c>
      <c r="J44" t="s">
        <v>22</v>
      </c>
      <c r="K44" t="s">
        <v>32</v>
      </c>
      <c r="L44">
        <v>54</v>
      </c>
      <c r="M44" t="s">
        <v>48</v>
      </c>
      <c r="N44" t="s">
        <v>15</v>
      </c>
    </row>
    <row r="45" spans="1:14" x14ac:dyDescent="0.35">
      <c r="A45">
        <v>17185</v>
      </c>
      <c r="B45" t="s">
        <v>36</v>
      </c>
      <c r="C45" t="s">
        <v>38</v>
      </c>
      <c r="D45">
        <v>170000</v>
      </c>
      <c r="E45">
        <v>4</v>
      </c>
      <c r="F45" t="s">
        <v>19</v>
      </c>
      <c r="G45" t="s">
        <v>21</v>
      </c>
      <c r="H45" t="s">
        <v>18</v>
      </c>
      <c r="I45">
        <v>3</v>
      </c>
      <c r="J45" t="s">
        <v>23</v>
      </c>
      <c r="K45" t="s">
        <v>17</v>
      </c>
      <c r="L45">
        <v>48</v>
      </c>
      <c r="M45" t="s">
        <v>47</v>
      </c>
      <c r="N45" t="s">
        <v>15</v>
      </c>
    </row>
    <row r="46" spans="1:14" x14ac:dyDescent="0.35">
      <c r="A46">
        <v>29380</v>
      </c>
      <c r="B46" t="s">
        <v>36</v>
      </c>
      <c r="C46" t="s">
        <v>38</v>
      </c>
      <c r="D46">
        <v>20000</v>
      </c>
      <c r="E46">
        <v>3</v>
      </c>
      <c r="F46" t="s">
        <v>27</v>
      </c>
      <c r="G46" t="s">
        <v>25</v>
      </c>
      <c r="H46" t="s">
        <v>15</v>
      </c>
      <c r="I46">
        <v>0</v>
      </c>
      <c r="J46" t="s">
        <v>16</v>
      </c>
      <c r="K46" t="s">
        <v>17</v>
      </c>
      <c r="L46">
        <v>41</v>
      </c>
      <c r="M46" t="s">
        <v>47</v>
      </c>
      <c r="N46" t="s">
        <v>15</v>
      </c>
    </row>
    <row r="47" spans="1:14" x14ac:dyDescent="0.35">
      <c r="A47">
        <v>23986</v>
      </c>
      <c r="B47" t="s">
        <v>36</v>
      </c>
      <c r="C47" t="s">
        <v>38</v>
      </c>
      <c r="D47">
        <v>20000</v>
      </c>
      <c r="E47">
        <v>1</v>
      </c>
      <c r="F47" t="s">
        <v>13</v>
      </c>
      <c r="G47" t="s">
        <v>20</v>
      </c>
      <c r="H47" t="s">
        <v>15</v>
      </c>
      <c r="I47">
        <v>0</v>
      </c>
      <c r="J47" t="s">
        <v>16</v>
      </c>
      <c r="K47" t="s">
        <v>17</v>
      </c>
      <c r="L47">
        <v>66</v>
      </c>
      <c r="M47" t="s">
        <v>48</v>
      </c>
      <c r="N47" t="s">
        <v>15</v>
      </c>
    </row>
    <row r="48" spans="1:14" x14ac:dyDescent="0.35">
      <c r="A48">
        <v>24466</v>
      </c>
      <c r="B48" t="s">
        <v>36</v>
      </c>
      <c r="C48" t="s">
        <v>38</v>
      </c>
      <c r="D48">
        <v>60000</v>
      </c>
      <c r="E48">
        <v>1</v>
      </c>
      <c r="F48" t="s">
        <v>19</v>
      </c>
      <c r="G48" t="s">
        <v>14</v>
      </c>
      <c r="H48" t="s">
        <v>15</v>
      </c>
      <c r="I48">
        <v>1</v>
      </c>
      <c r="J48" t="s">
        <v>23</v>
      </c>
      <c r="K48" t="s">
        <v>24</v>
      </c>
      <c r="L48">
        <v>46</v>
      </c>
      <c r="M48" t="s">
        <v>47</v>
      </c>
      <c r="N48" t="s">
        <v>15</v>
      </c>
    </row>
    <row r="49" spans="1:14" x14ac:dyDescent="0.35">
      <c r="A49">
        <v>29097</v>
      </c>
      <c r="B49" t="s">
        <v>37</v>
      </c>
      <c r="C49" t="s">
        <v>38</v>
      </c>
      <c r="D49">
        <v>40000</v>
      </c>
      <c r="E49">
        <v>2</v>
      </c>
      <c r="F49" t="s">
        <v>19</v>
      </c>
      <c r="G49" t="s">
        <v>14</v>
      </c>
      <c r="H49" t="s">
        <v>15</v>
      </c>
      <c r="I49">
        <v>2</v>
      </c>
      <c r="J49" t="s">
        <v>23</v>
      </c>
      <c r="K49" t="s">
        <v>24</v>
      </c>
      <c r="L49">
        <v>52</v>
      </c>
      <c r="M49" t="s">
        <v>47</v>
      </c>
      <c r="N49" t="s">
        <v>15</v>
      </c>
    </row>
    <row r="50" spans="1:14" x14ac:dyDescent="0.35">
      <c r="A50">
        <v>27540</v>
      </c>
      <c r="B50" t="s">
        <v>37</v>
      </c>
      <c r="C50" t="s">
        <v>38</v>
      </c>
      <c r="D50">
        <v>70000</v>
      </c>
      <c r="E50">
        <v>0</v>
      </c>
      <c r="F50" t="s">
        <v>13</v>
      </c>
      <c r="G50" t="s">
        <v>21</v>
      </c>
      <c r="H50" t="s">
        <v>18</v>
      </c>
      <c r="I50">
        <v>1</v>
      </c>
      <c r="J50" t="s">
        <v>16</v>
      </c>
      <c r="K50" t="s">
        <v>32</v>
      </c>
      <c r="L50">
        <v>37</v>
      </c>
      <c r="M50" t="s">
        <v>47</v>
      </c>
      <c r="N50" t="s">
        <v>15</v>
      </c>
    </row>
    <row r="51" spans="1:14" x14ac:dyDescent="0.35">
      <c r="A51">
        <v>19163</v>
      </c>
      <c r="B51" t="s">
        <v>36</v>
      </c>
      <c r="C51" t="s">
        <v>38</v>
      </c>
      <c r="D51">
        <v>70000</v>
      </c>
      <c r="E51">
        <v>4</v>
      </c>
      <c r="F51" t="s">
        <v>13</v>
      </c>
      <c r="G51" t="s">
        <v>21</v>
      </c>
      <c r="H51" t="s">
        <v>15</v>
      </c>
      <c r="I51">
        <v>2</v>
      </c>
      <c r="J51" t="s">
        <v>16</v>
      </c>
      <c r="K51" t="s">
        <v>32</v>
      </c>
      <c r="L51">
        <v>43</v>
      </c>
      <c r="M51" t="s">
        <v>47</v>
      </c>
      <c r="N51" t="s">
        <v>15</v>
      </c>
    </row>
    <row r="52" spans="1:14" x14ac:dyDescent="0.35">
      <c r="A52">
        <v>13911</v>
      </c>
      <c r="B52" t="s">
        <v>37</v>
      </c>
      <c r="C52" t="s">
        <v>38</v>
      </c>
      <c r="D52">
        <v>80000</v>
      </c>
      <c r="E52">
        <v>3</v>
      </c>
      <c r="F52" t="s">
        <v>13</v>
      </c>
      <c r="G52" t="s">
        <v>14</v>
      </c>
      <c r="H52" t="s">
        <v>15</v>
      </c>
      <c r="I52">
        <v>2</v>
      </c>
      <c r="J52" t="s">
        <v>22</v>
      </c>
      <c r="K52" t="s">
        <v>32</v>
      </c>
      <c r="L52">
        <v>41</v>
      </c>
      <c r="M52" t="s">
        <v>47</v>
      </c>
      <c r="N52" t="s">
        <v>15</v>
      </c>
    </row>
    <row r="53" spans="1:14" x14ac:dyDescent="0.35">
      <c r="A53">
        <v>23041</v>
      </c>
      <c r="B53" t="s">
        <v>37</v>
      </c>
      <c r="C53" t="s">
        <v>38</v>
      </c>
      <c r="D53">
        <v>70000</v>
      </c>
      <c r="E53">
        <v>4</v>
      </c>
      <c r="F53" t="s">
        <v>27</v>
      </c>
      <c r="G53" t="s">
        <v>21</v>
      </c>
      <c r="H53" t="s">
        <v>15</v>
      </c>
      <c r="I53">
        <v>0</v>
      </c>
      <c r="J53" t="s">
        <v>23</v>
      </c>
      <c r="K53" t="s">
        <v>32</v>
      </c>
      <c r="L53">
        <v>50</v>
      </c>
      <c r="M53" t="s">
        <v>47</v>
      </c>
      <c r="N53" t="s">
        <v>15</v>
      </c>
    </row>
    <row r="54" spans="1:14" x14ac:dyDescent="0.35">
      <c r="A54">
        <v>17012</v>
      </c>
      <c r="B54" t="s">
        <v>36</v>
      </c>
      <c r="C54" t="s">
        <v>38</v>
      </c>
      <c r="D54">
        <v>60000</v>
      </c>
      <c r="E54">
        <v>3</v>
      </c>
      <c r="F54" t="s">
        <v>31</v>
      </c>
      <c r="G54" t="s">
        <v>21</v>
      </c>
      <c r="H54" t="s">
        <v>15</v>
      </c>
      <c r="I54">
        <v>0</v>
      </c>
      <c r="J54" t="s">
        <v>22</v>
      </c>
      <c r="K54" t="s">
        <v>32</v>
      </c>
      <c r="L54">
        <v>42</v>
      </c>
      <c r="M54" t="s">
        <v>47</v>
      </c>
      <c r="N54" t="s">
        <v>15</v>
      </c>
    </row>
    <row r="55" spans="1:14" x14ac:dyDescent="0.35">
      <c r="A55">
        <v>21660</v>
      </c>
      <c r="B55" t="s">
        <v>36</v>
      </c>
      <c r="C55" t="s">
        <v>38</v>
      </c>
      <c r="D55">
        <v>60000</v>
      </c>
      <c r="E55">
        <v>3</v>
      </c>
      <c r="F55" t="s">
        <v>31</v>
      </c>
      <c r="G55" t="s">
        <v>21</v>
      </c>
      <c r="H55" t="s">
        <v>15</v>
      </c>
      <c r="I55">
        <v>0</v>
      </c>
      <c r="J55" t="s">
        <v>22</v>
      </c>
      <c r="K55" t="s">
        <v>32</v>
      </c>
      <c r="L55">
        <v>43</v>
      </c>
      <c r="M55" t="s">
        <v>47</v>
      </c>
      <c r="N55" t="s">
        <v>15</v>
      </c>
    </row>
    <row r="56" spans="1:14" x14ac:dyDescent="0.35">
      <c r="A56">
        <v>13351</v>
      </c>
      <c r="B56" t="s">
        <v>37</v>
      </c>
      <c r="C56" t="s">
        <v>38</v>
      </c>
      <c r="D56">
        <v>70000</v>
      </c>
      <c r="E56">
        <v>4</v>
      </c>
      <c r="F56" t="s">
        <v>13</v>
      </c>
      <c r="G56" t="s">
        <v>28</v>
      </c>
      <c r="H56" t="s">
        <v>15</v>
      </c>
      <c r="I56">
        <v>2</v>
      </c>
      <c r="J56" t="s">
        <v>26</v>
      </c>
      <c r="K56" t="s">
        <v>32</v>
      </c>
      <c r="L56">
        <v>62</v>
      </c>
      <c r="M56" t="s">
        <v>48</v>
      </c>
      <c r="N56" t="s">
        <v>15</v>
      </c>
    </row>
    <row r="57" spans="1:14" x14ac:dyDescent="0.35">
      <c r="A57">
        <v>20376</v>
      </c>
      <c r="B57" t="s">
        <v>37</v>
      </c>
      <c r="C57" t="s">
        <v>38</v>
      </c>
      <c r="D57">
        <v>70000</v>
      </c>
      <c r="E57">
        <v>3</v>
      </c>
      <c r="F57" t="s">
        <v>31</v>
      </c>
      <c r="G57" t="s">
        <v>28</v>
      </c>
      <c r="H57" t="s">
        <v>15</v>
      </c>
      <c r="I57">
        <v>2</v>
      </c>
      <c r="J57" t="s">
        <v>23</v>
      </c>
      <c r="K57" t="s">
        <v>32</v>
      </c>
      <c r="L57">
        <v>52</v>
      </c>
      <c r="M57" t="s">
        <v>47</v>
      </c>
      <c r="N57" t="s">
        <v>15</v>
      </c>
    </row>
    <row r="58" spans="1:14" x14ac:dyDescent="0.35">
      <c r="A58">
        <v>21417</v>
      </c>
      <c r="B58" t="s">
        <v>37</v>
      </c>
      <c r="C58" t="s">
        <v>38</v>
      </c>
      <c r="D58">
        <v>60000</v>
      </c>
      <c r="E58">
        <v>0</v>
      </c>
      <c r="F58" t="s">
        <v>19</v>
      </c>
      <c r="G58" t="s">
        <v>21</v>
      </c>
      <c r="H58" t="s">
        <v>18</v>
      </c>
      <c r="I58">
        <v>2</v>
      </c>
      <c r="J58" t="s">
        <v>26</v>
      </c>
      <c r="K58" t="s">
        <v>32</v>
      </c>
      <c r="L58">
        <v>32</v>
      </c>
      <c r="M58" t="s">
        <v>47</v>
      </c>
      <c r="N58" t="s">
        <v>15</v>
      </c>
    </row>
    <row r="59" spans="1:14" x14ac:dyDescent="0.35">
      <c r="A59">
        <v>15287</v>
      </c>
      <c r="B59" t="s">
        <v>37</v>
      </c>
      <c r="C59" t="s">
        <v>38</v>
      </c>
      <c r="D59">
        <v>50000</v>
      </c>
      <c r="E59">
        <v>1</v>
      </c>
      <c r="F59" t="s">
        <v>31</v>
      </c>
      <c r="G59" t="s">
        <v>14</v>
      </c>
      <c r="H59" t="s">
        <v>15</v>
      </c>
      <c r="I59">
        <v>0</v>
      </c>
      <c r="J59" t="s">
        <v>26</v>
      </c>
      <c r="K59" t="s">
        <v>32</v>
      </c>
      <c r="L59">
        <v>33</v>
      </c>
      <c r="M59" t="s">
        <v>47</v>
      </c>
      <c r="N59" t="s">
        <v>15</v>
      </c>
    </row>
    <row r="60" spans="1:14" x14ac:dyDescent="0.35">
      <c r="A60">
        <v>25502</v>
      </c>
      <c r="B60" t="s">
        <v>36</v>
      </c>
      <c r="C60" t="s">
        <v>38</v>
      </c>
      <c r="D60">
        <v>40000</v>
      </c>
      <c r="E60">
        <v>1</v>
      </c>
      <c r="F60" t="s">
        <v>13</v>
      </c>
      <c r="G60" t="s">
        <v>14</v>
      </c>
      <c r="H60" t="s">
        <v>15</v>
      </c>
      <c r="I60">
        <v>0</v>
      </c>
      <c r="J60" t="s">
        <v>16</v>
      </c>
      <c r="K60" t="s">
        <v>17</v>
      </c>
      <c r="L60">
        <v>43</v>
      </c>
      <c r="M60" t="s">
        <v>47</v>
      </c>
      <c r="N60" t="s">
        <v>15</v>
      </c>
    </row>
    <row r="61" spans="1:14" x14ac:dyDescent="0.35">
      <c r="A61">
        <v>22971</v>
      </c>
      <c r="B61" t="s">
        <v>37</v>
      </c>
      <c r="C61" t="s">
        <v>38</v>
      </c>
      <c r="D61">
        <v>30000</v>
      </c>
      <c r="E61">
        <v>0</v>
      </c>
      <c r="F61" t="s">
        <v>27</v>
      </c>
      <c r="G61" t="s">
        <v>14</v>
      </c>
      <c r="H61" t="s">
        <v>18</v>
      </c>
      <c r="I61">
        <v>2</v>
      </c>
      <c r="J61" t="s">
        <v>16</v>
      </c>
      <c r="K61" t="s">
        <v>32</v>
      </c>
      <c r="L61">
        <v>25</v>
      </c>
      <c r="M61" t="s">
        <v>46</v>
      </c>
      <c r="N61" t="s">
        <v>15</v>
      </c>
    </row>
    <row r="62" spans="1:14" x14ac:dyDescent="0.35">
      <c r="A62">
        <v>28031</v>
      </c>
      <c r="B62" t="s">
        <v>37</v>
      </c>
      <c r="C62" t="s">
        <v>38</v>
      </c>
      <c r="D62">
        <v>70000</v>
      </c>
      <c r="E62">
        <v>2</v>
      </c>
      <c r="F62" t="s">
        <v>13</v>
      </c>
      <c r="G62" t="s">
        <v>28</v>
      </c>
      <c r="H62" t="s">
        <v>18</v>
      </c>
      <c r="I62">
        <v>1</v>
      </c>
      <c r="J62" t="s">
        <v>22</v>
      </c>
      <c r="K62" t="s">
        <v>32</v>
      </c>
      <c r="L62">
        <v>59</v>
      </c>
      <c r="M62" t="s">
        <v>48</v>
      </c>
      <c r="N62" t="s">
        <v>15</v>
      </c>
    </row>
    <row r="63" spans="1:14" x14ac:dyDescent="0.35">
      <c r="A63">
        <v>24496</v>
      </c>
      <c r="B63" t="s">
        <v>37</v>
      </c>
      <c r="C63" t="s">
        <v>38</v>
      </c>
      <c r="D63">
        <v>40000</v>
      </c>
      <c r="E63">
        <v>0</v>
      </c>
      <c r="F63" t="s">
        <v>27</v>
      </c>
      <c r="G63" t="s">
        <v>14</v>
      </c>
      <c r="H63" t="s">
        <v>18</v>
      </c>
      <c r="I63">
        <v>2</v>
      </c>
      <c r="J63" t="s">
        <v>16</v>
      </c>
      <c r="K63" t="s">
        <v>32</v>
      </c>
      <c r="L63">
        <v>28</v>
      </c>
      <c r="M63" t="s">
        <v>46</v>
      </c>
      <c r="N63" t="s">
        <v>15</v>
      </c>
    </row>
    <row r="64" spans="1:14" x14ac:dyDescent="0.35">
      <c r="A64">
        <v>20076</v>
      </c>
      <c r="B64" t="s">
        <v>37</v>
      </c>
      <c r="C64" t="s">
        <v>38</v>
      </c>
      <c r="D64">
        <v>10000</v>
      </c>
      <c r="E64">
        <v>2</v>
      </c>
      <c r="F64" t="s">
        <v>27</v>
      </c>
      <c r="G64" t="s">
        <v>25</v>
      </c>
      <c r="H64" t="s">
        <v>15</v>
      </c>
      <c r="I64">
        <v>2</v>
      </c>
      <c r="J64" t="s">
        <v>26</v>
      </c>
      <c r="K64" t="s">
        <v>32</v>
      </c>
      <c r="L64">
        <v>53</v>
      </c>
      <c r="M64" t="s">
        <v>47</v>
      </c>
      <c r="N64" t="s">
        <v>15</v>
      </c>
    </row>
    <row r="65" spans="1:14" x14ac:dyDescent="0.35">
      <c r="A65">
        <v>14602</v>
      </c>
      <c r="B65" t="s">
        <v>36</v>
      </c>
      <c r="C65" t="s">
        <v>38</v>
      </c>
      <c r="D65">
        <v>80000</v>
      </c>
      <c r="E65">
        <v>3</v>
      </c>
      <c r="F65" t="s">
        <v>31</v>
      </c>
      <c r="G65" t="s">
        <v>21</v>
      </c>
      <c r="H65" t="s">
        <v>15</v>
      </c>
      <c r="I65">
        <v>0</v>
      </c>
      <c r="J65" t="s">
        <v>16</v>
      </c>
      <c r="K65" t="s">
        <v>32</v>
      </c>
      <c r="L65">
        <v>36</v>
      </c>
      <c r="M65" t="s">
        <v>47</v>
      </c>
      <c r="N65" t="s">
        <v>15</v>
      </c>
    </row>
    <row r="66" spans="1:14" x14ac:dyDescent="0.35">
      <c r="A66">
        <v>14927</v>
      </c>
      <c r="B66" t="s">
        <v>36</v>
      </c>
      <c r="C66" t="s">
        <v>38</v>
      </c>
      <c r="D66">
        <v>30000</v>
      </c>
      <c r="E66">
        <v>1</v>
      </c>
      <c r="F66" t="s">
        <v>13</v>
      </c>
      <c r="G66" t="s">
        <v>20</v>
      </c>
      <c r="H66" t="s">
        <v>15</v>
      </c>
      <c r="I66">
        <v>0</v>
      </c>
      <c r="J66" t="s">
        <v>16</v>
      </c>
      <c r="K66" t="s">
        <v>17</v>
      </c>
      <c r="L66">
        <v>37</v>
      </c>
      <c r="M66" t="s">
        <v>47</v>
      </c>
      <c r="N66" t="s">
        <v>15</v>
      </c>
    </row>
    <row r="67" spans="1:14" x14ac:dyDescent="0.35">
      <c r="A67">
        <v>24979</v>
      </c>
      <c r="B67" t="s">
        <v>36</v>
      </c>
      <c r="C67" t="s">
        <v>38</v>
      </c>
      <c r="D67">
        <v>60000</v>
      </c>
      <c r="E67">
        <v>2</v>
      </c>
      <c r="F67" t="s">
        <v>19</v>
      </c>
      <c r="G67" t="s">
        <v>21</v>
      </c>
      <c r="H67" t="s">
        <v>15</v>
      </c>
      <c r="I67">
        <v>2</v>
      </c>
      <c r="J67" t="s">
        <v>22</v>
      </c>
      <c r="K67" t="s">
        <v>32</v>
      </c>
      <c r="L67">
        <v>57</v>
      </c>
      <c r="M67" t="s">
        <v>48</v>
      </c>
      <c r="N67" t="s">
        <v>15</v>
      </c>
    </row>
    <row r="68" spans="1:14" x14ac:dyDescent="0.35">
      <c r="A68">
        <v>29355</v>
      </c>
      <c r="B68" t="s">
        <v>36</v>
      </c>
      <c r="C68" t="s">
        <v>38</v>
      </c>
      <c r="D68">
        <v>40000</v>
      </c>
      <c r="E68">
        <v>0</v>
      </c>
      <c r="F68" t="s">
        <v>31</v>
      </c>
      <c r="G68" t="s">
        <v>20</v>
      </c>
      <c r="H68" t="s">
        <v>15</v>
      </c>
      <c r="I68">
        <v>0</v>
      </c>
      <c r="J68" t="s">
        <v>16</v>
      </c>
      <c r="K68" t="s">
        <v>17</v>
      </c>
      <c r="L68">
        <v>37</v>
      </c>
      <c r="M68" t="s">
        <v>47</v>
      </c>
      <c r="N68" t="s">
        <v>15</v>
      </c>
    </row>
    <row r="69" spans="1:14" x14ac:dyDescent="0.35">
      <c r="A69">
        <v>16753</v>
      </c>
      <c r="B69" t="s">
        <v>37</v>
      </c>
      <c r="C69" t="s">
        <v>38</v>
      </c>
      <c r="D69">
        <v>70000</v>
      </c>
      <c r="E69">
        <v>0</v>
      </c>
      <c r="F69" t="s">
        <v>19</v>
      </c>
      <c r="G69" t="s">
        <v>14</v>
      </c>
      <c r="H69" t="s">
        <v>15</v>
      </c>
      <c r="I69">
        <v>2</v>
      </c>
      <c r="J69" t="s">
        <v>23</v>
      </c>
      <c r="K69" t="s">
        <v>32</v>
      </c>
      <c r="L69">
        <v>34</v>
      </c>
      <c r="M69" t="s">
        <v>47</v>
      </c>
      <c r="N69" t="s">
        <v>15</v>
      </c>
    </row>
    <row r="70" spans="1:14" x14ac:dyDescent="0.35">
      <c r="A70">
        <v>14813</v>
      </c>
      <c r="B70" t="s">
        <v>37</v>
      </c>
      <c r="C70" t="s">
        <v>38</v>
      </c>
      <c r="D70">
        <v>20000</v>
      </c>
      <c r="E70">
        <v>4</v>
      </c>
      <c r="F70" t="s">
        <v>27</v>
      </c>
      <c r="G70" t="s">
        <v>25</v>
      </c>
      <c r="H70" t="s">
        <v>15</v>
      </c>
      <c r="I70">
        <v>1</v>
      </c>
      <c r="J70" t="s">
        <v>16</v>
      </c>
      <c r="K70" t="s">
        <v>17</v>
      </c>
      <c r="L70">
        <v>43</v>
      </c>
      <c r="M70" t="s">
        <v>47</v>
      </c>
      <c r="N70" t="s">
        <v>15</v>
      </c>
    </row>
    <row r="71" spans="1:14" x14ac:dyDescent="0.35">
      <c r="A71">
        <v>23217</v>
      </c>
      <c r="B71" t="s">
        <v>37</v>
      </c>
      <c r="C71" t="s">
        <v>38</v>
      </c>
      <c r="D71">
        <v>60000</v>
      </c>
      <c r="E71">
        <v>3</v>
      </c>
      <c r="F71" t="s">
        <v>31</v>
      </c>
      <c r="G71" t="s">
        <v>21</v>
      </c>
      <c r="H71" t="s">
        <v>15</v>
      </c>
      <c r="I71">
        <v>0</v>
      </c>
      <c r="J71" t="s">
        <v>22</v>
      </c>
      <c r="K71" t="s">
        <v>32</v>
      </c>
      <c r="L71">
        <v>43</v>
      </c>
      <c r="M71" t="s">
        <v>47</v>
      </c>
      <c r="N71" t="s">
        <v>15</v>
      </c>
    </row>
    <row r="72" spans="1:14" x14ac:dyDescent="0.35">
      <c r="A72">
        <v>23668</v>
      </c>
      <c r="B72" t="s">
        <v>36</v>
      </c>
      <c r="C72" t="s">
        <v>38</v>
      </c>
      <c r="D72">
        <v>40000</v>
      </c>
      <c r="E72">
        <v>4</v>
      </c>
      <c r="F72" t="s">
        <v>27</v>
      </c>
      <c r="G72" t="s">
        <v>21</v>
      </c>
      <c r="H72" t="s">
        <v>15</v>
      </c>
      <c r="I72">
        <v>2</v>
      </c>
      <c r="J72" t="s">
        <v>23</v>
      </c>
      <c r="K72" t="s">
        <v>32</v>
      </c>
      <c r="L72">
        <v>59</v>
      </c>
      <c r="M72" t="s">
        <v>48</v>
      </c>
      <c r="N72" t="s">
        <v>15</v>
      </c>
    </row>
    <row r="73" spans="1:14" x14ac:dyDescent="0.35">
      <c r="A73">
        <v>14913</v>
      </c>
      <c r="B73" t="s">
        <v>36</v>
      </c>
      <c r="C73" t="s">
        <v>38</v>
      </c>
      <c r="D73">
        <v>40000</v>
      </c>
      <c r="E73">
        <v>1</v>
      </c>
      <c r="F73" t="s">
        <v>19</v>
      </c>
      <c r="G73" t="s">
        <v>20</v>
      </c>
      <c r="H73" t="s">
        <v>15</v>
      </c>
      <c r="I73">
        <v>1</v>
      </c>
      <c r="J73" t="s">
        <v>26</v>
      </c>
      <c r="K73" t="s">
        <v>32</v>
      </c>
      <c r="L73">
        <v>48</v>
      </c>
      <c r="M73" t="s">
        <v>47</v>
      </c>
      <c r="N73" t="s">
        <v>15</v>
      </c>
    </row>
    <row r="74" spans="1:14" x14ac:dyDescent="0.35">
      <c r="A74">
        <v>28799</v>
      </c>
      <c r="B74" t="s">
        <v>37</v>
      </c>
      <c r="C74" t="s">
        <v>38</v>
      </c>
      <c r="D74">
        <v>40000</v>
      </c>
      <c r="E74">
        <v>2</v>
      </c>
      <c r="F74" t="s">
        <v>19</v>
      </c>
      <c r="G74" t="s">
        <v>20</v>
      </c>
      <c r="H74" t="s">
        <v>18</v>
      </c>
      <c r="I74">
        <v>1</v>
      </c>
      <c r="J74" t="s">
        <v>26</v>
      </c>
      <c r="K74" t="s">
        <v>32</v>
      </c>
      <c r="L74">
        <v>47</v>
      </c>
      <c r="M74" t="s">
        <v>47</v>
      </c>
      <c r="N74" t="s">
        <v>15</v>
      </c>
    </row>
    <row r="75" spans="1:14" x14ac:dyDescent="0.35">
      <c r="A75">
        <v>26956</v>
      </c>
      <c r="B75" t="s">
        <v>37</v>
      </c>
      <c r="C75" t="s">
        <v>38</v>
      </c>
      <c r="D75">
        <v>20000</v>
      </c>
      <c r="E75">
        <v>0</v>
      </c>
      <c r="F75" t="s">
        <v>19</v>
      </c>
      <c r="G75" t="s">
        <v>25</v>
      </c>
      <c r="H75" t="s">
        <v>18</v>
      </c>
      <c r="I75">
        <v>1</v>
      </c>
      <c r="J75" t="s">
        <v>22</v>
      </c>
      <c r="K75" t="s">
        <v>17</v>
      </c>
      <c r="L75">
        <v>36</v>
      </c>
      <c r="M75" t="s">
        <v>47</v>
      </c>
      <c r="N75" t="s">
        <v>15</v>
      </c>
    </row>
    <row r="76" spans="1:14" x14ac:dyDescent="0.35">
      <c r="A76">
        <v>16867</v>
      </c>
      <c r="B76" t="s">
        <v>37</v>
      </c>
      <c r="C76" t="s">
        <v>38</v>
      </c>
      <c r="D76">
        <v>130000</v>
      </c>
      <c r="E76">
        <v>1</v>
      </c>
      <c r="F76" t="s">
        <v>13</v>
      </c>
      <c r="G76" t="s">
        <v>28</v>
      </c>
      <c r="H76" t="s">
        <v>18</v>
      </c>
      <c r="I76">
        <v>3</v>
      </c>
      <c r="J76" t="s">
        <v>16</v>
      </c>
      <c r="K76" t="s">
        <v>32</v>
      </c>
      <c r="L76">
        <v>45</v>
      </c>
      <c r="M76" t="s">
        <v>47</v>
      </c>
      <c r="N76" t="s">
        <v>15</v>
      </c>
    </row>
    <row r="77" spans="1:14" x14ac:dyDescent="0.35">
      <c r="A77">
        <v>26625</v>
      </c>
      <c r="B77" t="s">
        <v>37</v>
      </c>
      <c r="C77" t="s">
        <v>38</v>
      </c>
      <c r="D77">
        <v>60000</v>
      </c>
      <c r="E77">
        <v>0</v>
      </c>
      <c r="F77" t="s">
        <v>31</v>
      </c>
      <c r="G77" t="s">
        <v>21</v>
      </c>
      <c r="H77" t="s">
        <v>15</v>
      </c>
      <c r="I77">
        <v>1</v>
      </c>
      <c r="J77" t="s">
        <v>22</v>
      </c>
      <c r="K77" t="s">
        <v>32</v>
      </c>
      <c r="L77">
        <v>38</v>
      </c>
      <c r="M77" t="s">
        <v>47</v>
      </c>
      <c r="N77" t="s">
        <v>15</v>
      </c>
    </row>
    <row r="78" spans="1:14" x14ac:dyDescent="0.35">
      <c r="A78">
        <v>24324</v>
      </c>
      <c r="B78" t="s">
        <v>37</v>
      </c>
      <c r="C78" t="s">
        <v>38</v>
      </c>
      <c r="D78">
        <v>60000</v>
      </c>
      <c r="E78">
        <v>4</v>
      </c>
      <c r="F78" t="s">
        <v>13</v>
      </c>
      <c r="G78" t="s">
        <v>14</v>
      </c>
      <c r="H78" t="s">
        <v>15</v>
      </c>
      <c r="I78">
        <v>2</v>
      </c>
      <c r="J78" t="s">
        <v>22</v>
      </c>
      <c r="K78" t="s">
        <v>32</v>
      </c>
      <c r="L78">
        <v>41</v>
      </c>
      <c r="M78" t="s">
        <v>47</v>
      </c>
      <c r="N78" t="s">
        <v>15</v>
      </c>
    </row>
    <row r="79" spans="1:14" x14ac:dyDescent="0.35">
      <c r="A79">
        <v>11886</v>
      </c>
      <c r="B79" t="s">
        <v>36</v>
      </c>
      <c r="C79" t="s">
        <v>38</v>
      </c>
      <c r="D79">
        <v>60000</v>
      </c>
      <c r="E79">
        <v>3</v>
      </c>
      <c r="F79" t="s">
        <v>13</v>
      </c>
      <c r="G79" t="s">
        <v>21</v>
      </c>
      <c r="H79" t="s">
        <v>15</v>
      </c>
      <c r="I79">
        <v>1</v>
      </c>
      <c r="J79" t="s">
        <v>16</v>
      </c>
      <c r="K79" t="s">
        <v>32</v>
      </c>
      <c r="L79">
        <v>48</v>
      </c>
      <c r="M79" t="s">
        <v>47</v>
      </c>
      <c r="N79" t="s">
        <v>15</v>
      </c>
    </row>
    <row r="80" spans="1:14" x14ac:dyDescent="0.35">
      <c r="A80">
        <v>24958</v>
      </c>
      <c r="B80" t="s">
        <v>37</v>
      </c>
      <c r="C80" t="s">
        <v>38</v>
      </c>
      <c r="D80">
        <v>40000</v>
      </c>
      <c r="E80">
        <v>5</v>
      </c>
      <c r="F80" t="s">
        <v>27</v>
      </c>
      <c r="G80" t="s">
        <v>21</v>
      </c>
      <c r="H80" t="s">
        <v>18</v>
      </c>
      <c r="I80">
        <v>3</v>
      </c>
      <c r="J80" t="s">
        <v>22</v>
      </c>
      <c r="K80" t="s">
        <v>32</v>
      </c>
      <c r="L80">
        <v>60</v>
      </c>
      <c r="M80" t="s">
        <v>48</v>
      </c>
      <c r="N80" t="s">
        <v>15</v>
      </c>
    </row>
    <row r="81" spans="1:14" x14ac:dyDescent="0.35">
      <c r="A81">
        <v>27090</v>
      </c>
      <c r="B81" t="s">
        <v>36</v>
      </c>
      <c r="C81" t="s">
        <v>38</v>
      </c>
      <c r="D81">
        <v>60000</v>
      </c>
      <c r="E81">
        <v>1</v>
      </c>
      <c r="F81" t="s">
        <v>31</v>
      </c>
      <c r="G81" t="s">
        <v>21</v>
      </c>
      <c r="H81" t="s">
        <v>15</v>
      </c>
      <c r="I81">
        <v>0</v>
      </c>
      <c r="J81" t="s">
        <v>22</v>
      </c>
      <c r="K81" t="s">
        <v>32</v>
      </c>
      <c r="L81">
        <v>37</v>
      </c>
      <c r="M81" t="s">
        <v>47</v>
      </c>
      <c r="N81" t="s">
        <v>15</v>
      </c>
    </row>
    <row r="82" spans="1:14" x14ac:dyDescent="0.35">
      <c r="A82">
        <v>20828</v>
      </c>
      <c r="B82" t="s">
        <v>36</v>
      </c>
      <c r="C82" t="s">
        <v>38</v>
      </c>
      <c r="D82">
        <v>30000</v>
      </c>
      <c r="E82">
        <v>4</v>
      </c>
      <c r="F82" t="s">
        <v>31</v>
      </c>
      <c r="G82" t="s">
        <v>20</v>
      </c>
      <c r="H82" t="s">
        <v>15</v>
      </c>
      <c r="I82">
        <v>0</v>
      </c>
      <c r="J82" t="s">
        <v>16</v>
      </c>
      <c r="K82" t="s">
        <v>17</v>
      </c>
      <c r="L82">
        <v>45</v>
      </c>
      <c r="M82" t="s">
        <v>47</v>
      </c>
      <c r="N82" t="s">
        <v>15</v>
      </c>
    </row>
    <row r="83" spans="1:14" x14ac:dyDescent="0.35">
      <c r="A83">
        <v>17546</v>
      </c>
      <c r="B83" t="s">
        <v>36</v>
      </c>
      <c r="C83" t="s">
        <v>38</v>
      </c>
      <c r="D83">
        <v>70000</v>
      </c>
      <c r="E83">
        <v>1</v>
      </c>
      <c r="F83" t="s">
        <v>19</v>
      </c>
      <c r="G83" t="s">
        <v>14</v>
      </c>
      <c r="H83" t="s">
        <v>15</v>
      </c>
      <c r="I83">
        <v>1</v>
      </c>
      <c r="J83" t="s">
        <v>16</v>
      </c>
      <c r="K83" t="s">
        <v>32</v>
      </c>
      <c r="L83">
        <v>44</v>
      </c>
      <c r="M83" t="s">
        <v>47</v>
      </c>
      <c r="N83" t="s">
        <v>15</v>
      </c>
    </row>
    <row r="84" spans="1:14" x14ac:dyDescent="0.35">
      <c r="A84">
        <v>20296</v>
      </c>
      <c r="B84" t="s">
        <v>37</v>
      </c>
      <c r="C84" t="s">
        <v>38</v>
      </c>
      <c r="D84">
        <v>60000</v>
      </c>
      <c r="E84">
        <v>0</v>
      </c>
      <c r="F84" t="s">
        <v>19</v>
      </c>
      <c r="G84" t="s">
        <v>14</v>
      </c>
      <c r="H84" t="s">
        <v>18</v>
      </c>
      <c r="I84">
        <v>1</v>
      </c>
      <c r="J84" t="s">
        <v>26</v>
      </c>
      <c r="K84" t="s">
        <v>32</v>
      </c>
      <c r="L84">
        <v>33</v>
      </c>
      <c r="M84" t="s">
        <v>47</v>
      </c>
      <c r="N84" t="s">
        <v>15</v>
      </c>
    </row>
    <row r="85" spans="1:14" x14ac:dyDescent="0.35">
      <c r="A85">
        <v>29132</v>
      </c>
      <c r="B85" t="s">
        <v>37</v>
      </c>
      <c r="C85" t="s">
        <v>38</v>
      </c>
      <c r="D85">
        <v>40000</v>
      </c>
      <c r="E85">
        <v>0</v>
      </c>
      <c r="F85" t="s">
        <v>13</v>
      </c>
      <c r="G85" t="s">
        <v>21</v>
      </c>
      <c r="H85" t="s">
        <v>15</v>
      </c>
      <c r="I85">
        <v>1</v>
      </c>
      <c r="J85" t="s">
        <v>22</v>
      </c>
      <c r="K85" t="s">
        <v>32</v>
      </c>
      <c r="L85">
        <v>42</v>
      </c>
      <c r="M85" t="s">
        <v>47</v>
      </c>
      <c r="N85" t="s">
        <v>15</v>
      </c>
    </row>
    <row r="86" spans="1:14" x14ac:dyDescent="0.35">
      <c r="A86">
        <v>28068</v>
      </c>
      <c r="B86" t="s">
        <v>37</v>
      </c>
      <c r="C86" t="s">
        <v>38</v>
      </c>
      <c r="D86">
        <v>80000</v>
      </c>
      <c r="E86">
        <v>3</v>
      </c>
      <c r="F86" t="s">
        <v>31</v>
      </c>
      <c r="G86" t="s">
        <v>21</v>
      </c>
      <c r="H86" t="s">
        <v>18</v>
      </c>
      <c r="I86">
        <v>0</v>
      </c>
      <c r="J86" t="s">
        <v>16</v>
      </c>
      <c r="K86" t="s">
        <v>32</v>
      </c>
      <c r="L86">
        <v>36</v>
      </c>
      <c r="M86" t="s">
        <v>47</v>
      </c>
      <c r="N86" t="s">
        <v>15</v>
      </c>
    </row>
    <row r="87" spans="1:14" x14ac:dyDescent="0.35">
      <c r="A87">
        <v>25970</v>
      </c>
      <c r="B87" t="s">
        <v>37</v>
      </c>
      <c r="C87" t="s">
        <v>38</v>
      </c>
      <c r="D87">
        <v>60000</v>
      </c>
      <c r="E87">
        <v>4</v>
      </c>
      <c r="F87" t="s">
        <v>13</v>
      </c>
      <c r="G87" t="s">
        <v>14</v>
      </c>
      <c r="H87" t="s">
        <v>18</v>
      </c>
      <c r="I87">
        <v>2</v>
      </c>
      <c r="J87" t="s">
        <v>16</v>
      </c>
      <c r="K87" t="s">
        <v>32</v>
      </c>
      <c r="L87">
        <v>41</v>
      </c>
      <c r="M87" t="s">
        <v>47</v>
      </c>
      <c r="N87" t="s">
        <v>15</v>
      </c>
    </row>
    <row r="88" spans="1:14" x14ac:dyDescent="0.35">
      <c r="A88">
        <v>12774</v>
      </c>
      <c r="B88" t="s">
        <v>36</v>
      </c>
      <c r="C88" t="s">
        <v>38</v>
      </c>
      <c r="D88">
        <v>40000</v>
      </c>
      <c r="E88">
        <v>1</v>
      </c>
      <c r="F88" t="s">
        <v>19</v>
      </c>
      <c r="G88" t="s">
        <v>20</v>
      </c>
      <c r="H88" t="s">
        <v>15</v>
      </c>
      <c r="I88">
        <v>1</v>
      </c>
      <c r="J88" t="s">
        <v>26</v>
      </c>
      <c r="K88" t="s">
        <v>32</v>
      </c>
      <c r="L88">
        <v>51</v>
      </c>
      <c r="M88" t="s">
        <v>47</v>
      </c>
      <c r="N88" t="s">
        <v>15</v>
      </c>
    </row>
    <row r="89" spans="1:14" x14ac:dyDescent="0.35">
      <c r="A89">
        <v>27673</v>
      </c>
      <c r="B89" t="s">
        <v>37</v>
      </c>
      <c r="C89" t="s">
        <v>38</v>
      </c>
      <c r="D89">
        <v>60000</v>
      </c>
      <c r="E89">
        <v>3</v>
      </c>
      <c r="F89" t="s">
        <v>31</v>
      </c>
      <c r="G89" t="s">
        <v>28</v>
      </c>
      <c r="H89" t="s">
        <v>15</v>
      </c>
      <c r="I89">
        <v>2</v>
      </c>
      <c r="J89" t="s">
        <v>23</v>
      </c>
      <c r="K89" t="s">
        <v>32</v>
      </c>
      <c r="L89">
        <v>53</v>
      </c>
      <c r="M89" t="s">
        <v>47</v>
      </c>
      <c r="N89" t="s">
        <v>15</v>
      </c>
    </row>
    <row r="90" spans="1:14" x14ac:dyDescent="0.35">
      <c r="A90">
        <v>11817</v>
      </c>
      <c r="B90" t="s">
        <v>37</v>
      </c>
      <c r="C90" t="s">
        <v>38</v>
      </c>
      <c r="D90">
        <v>70000</v>
      </c>
      <c r="E90">
        <v>4</v>
      </c>
      <c r="F90" t="s">
        <v>31</v>
      </c>
      <c r="G90" t="s">
        <v>21</v>
      </c>
      <c r="H90" t="s">
        <v>15</v>
      </c>
      <c r="I90">
        <v>0</v>
      </c>
      <c r="J90" t="s">
        <v>22</v>
      </c>
      <c r="K90" t="s">
        <v>32</v>
      </c>
      <c r="L90">
        <v>35</v>
      </c>
      <c r="M90" t="s">
        <v>47</v>
      </c>
      <c r="N90" t="s">
        <v>15</v>
      </c>
    </row>
    <row r="91" spans="1:14" x14ac:dyDescent="0.35">
      <c r="A91">
        <v>22252</v>
      </c>
      <c r="B91" t="s">
        <v>37</v>
      </c>
      <c r="C91" t="s">
        <v>38</v>
      </c>
      <c r="D91">
        <v>60000</v>
      </c>
      <c r="E91">
        <v>1</v>
      </c>
      <c r="F91" t="s">
        <v>31</v>
      </c>
      <c r="G91" t="s">
        <v>21</v>
      </c>
      <c r="H91" t="s">
        <v>15</v>
      </c>
      <c r="I91">
        <v>0</v>
      </c>
      <c r="J91" t="s">
        <v>22</v>
      </c>
      <c r="K91" t="s">
        <v>32</v>
      </c>
      <c r="L91">
        <v>36</v>
      </c>
      <c r="M91" t="s">
        <v>47</v>
      </c>
      <c r="N91" t="s">
        <v>15</v>
      </c>
    </row>
    <row r="92" spans="1:14" x14ac:dyDescent="0.35">
      <c r="A92">
        <v>26886</v>
      </c>
      <c r="B92" t="s">
        <v>37</v>
      </c>
      <c r="C92" t="s">
        <v>38</v>
      </c>
      <c r="D92">
        <v>30000</v>
      </c>
      <c r="E92">
        <v>0</v>
      </c>
      <c r="F92" t="s">
        <v>19</v>
      </c>
      <c r="G92" t="s">
        <v>20</v>
      </c>
      <c r="H92" t="s">
        <v>18</v>
      </c>
      <c r="I92">
        <v>1</v>
      </c>
      <c r="J92" t="s">
        <v>16</v>
      </c>
      <c r="K92" t="s">
        <v>17</v>
      </c>
      <c r="L92">
        <v>29</v>
      </c>
      <c r="M92" t="s">
        <v>46</v>
      </c>
      <c r="N92" t="s">
        <v>15</v>
      </c>
    </row>
    <row r="93" spans="1:14" x14ac:dyDescent="0.35">
      <c r="A93">
        <v>17864</v>
      </c>
      <c r="B93" t="s">
        <v>36</v>
      </c>
      <c r="C93" t="s">
        <v>38</v>
      </c>
      <c r="D93">
        <v>60000</v>
      </c>
      <c r="E93">
        <v>1</v>
      </c>
      <c r="F93" t="s">
        <v>19</v>
      </c>
      <c r="G93" t="s">
        <v>14</v>
      </c>
      <c r="H93" t="s">
        <v>15</v>
      </c>
      <c r="I93">
        <v>1</v>
      </c>
      <c r="J93" t="s">
        <v>22</v>
      </c>
      <c r="K93" t="s">
        <v>32</v>
      </c>
      <c r="L93">
        <v>46</v>
      </c>
      <c r="M93" t="s">
        <v>47</v>
      </c>
      <c r="N93" t="s">
        <v>15</v>
      </c>
    </row>
    <row r="94" spans="1:14" x14ac:dyDescent="0.35">
      <c r="A94">
        <v>19562</v>
      </c>
      <c r="B94" t="s">
        <v>37</v>
      </c>
      <c r="C94" t="s">
        <v>38</v>
      </c>
      <c r="D94">
        <v>60000</v>
      </c>
      <c r="E94">
        <v>2</v>
      </c>
      <c r="F94" t="s">
        <v>13</v>
      </c>
      <c r="G94" t="s">
        <v>21</v>
      </c>
      <c r="H94" t="s">
        <v>15</v>
      </c>
      <c r="I94">
        <v>1</v>
      </c>
      <c r="J94" t="s">
        <v>22</v>
      </c>
      <c r="K94" t="s">
        <v>24</v>
      </c>
      <c r="L94">
        <v>37</v>
      </c>
      <c r="M94" t="s">
        <v>47</v>
      </c>
      <c r="N94" t="s">
        <v>15</v>
      </c>
    </row>
    <row r="95" spans="1:14" x14ac:dyDescent="0.35">
      <c r="A95">
        <v>28580</v>
      </c>
      <c r="B95" t="s">
        <v>36</v>
      </c>
      <c r="C95" t="s">
        <v>38</v>
      </c>
      <c r="D95">
        <v>80000</v>
      </c>
      <c r="E95">
        <v>0</v>
      </c>
      <c r="F95" t="s">
        <v>31</v>
      </c>
      <c r="G95" t="s">
        <v>14</v>
      </c>
      <c r="H95" t="s">
        <v>15</v>
      </c>
      <c r="I95">
        <v>0</v>
      </c>
      <c r="J95" t="s">
        <v>26</v>
      </c>
      <c r="K95" t="s">
        <v>32</v>
      </c>
      <c r="L95">
        <v>40</v>
      </c>
      <c r="M95" t="s">
        <v>47</v>
      </c>
      <c r="N95" t="s">
        <v>15</v>
      </c>
    </row>
    <row r="96" spans="1:14" x14ac:dyDescent="0.35">
      <c r="A96">
        <v>21599</v>
      </c>
      <c r="B96" t="s">
        <v>36</v>
      </c>
      <c r="C96" t="s">
        <v>38</v>
      </c>
      <c r="D96">
        <v>60000</v>
      </c>
      <c r="E96">
        <v>1</v>
      </c>
      <c r="F96" t="s">
        <v>31</v>
      </c>
      <c r="G96" t="s">
        <v>21</v>
      </c>
      <c r="H96" t="s">
        <v>15</v>
      </c>
      <c r="I96">
        <v>0</v>
      </c>
      <c r="J96" t="s">
        <v>22</v>
      </c>
      <c r="K96" t="s">
        <v>32</v>
      </c>
      <c r="L96">
        <v>36</v>
      </c>
      <c r="M96" t="s">
        <v>47</v>
      </c>
      <c r="N96" t="s">
        <v>15</v>
      </c>
    </row>
    <row r="97" spans="1:14" x14ac:dyDescent="0.35">
      <c r="A97">
        <v>18435</v>
      </c>
      <c r="B97" t="s">
        <v>37</v>
      </c>
      <c r="C97" t="s">
        <v>38</v>
      </c>
      <c r="D97">
        <v>70000</v>
      </c>
      <c r="E97">
        <v>5</v>
      </c>
      <c r="F97" t="s">
        <v>31</v>
      </c>
      <c r="G97" t="s">
        <v>28</v>
      </c>
      <c r="H97" t="s">
        <v>15</v>
      </c>
      <c r="I97">
        <v>2</v>
      </c>
      <c r="J97" t="s">
        <v>44</v>
      </c>
      <c r="K97" t="s">
        <v>32</v>
      </c>
      <c r="L97">
        <v>67</v>
      </c>
      <c r="M97" t="s">
        <v>48</v>
      </c>
      <c r="N97" t="s">
        <v>15</v>
      </c>
    </row>
    <row r="98" spans="1:14" x14ac:dyDescent="0.35">
      <c r="A98">
        <v>19164</v>
      </c>
      <c r="B98" t="s">
        <v>37</v>
      </c>
      <c r="C98" t="s">
        <v>38</v>
      </c>
      <c r="D98">
        <v>70000</v>
      </c>
      <c r="E98">
        <v>0</v>
      </c>
      <c r="F98" t="s">
        <v>13</v>
      </c>
      <c r="G98" t="s">
        <v>21</v>
      </c>
      <c r="H98" t="s">
        <v>18</v>
      </c>
      <c r="I98">
        <v>1</v>
      </c>
      <c r="J98" t="s">
        <v>22</v>
      </c>
      <c r="K98" t="s">
        <v>32</v>
      </c>
      <c r="L98">
        <v>38</v>
      </c>
      <c r="M98" t="s">
        <v>47</v>
      </c>
      <c r="N98" t="s">
        <v>15</v>
      </c>
    </row>
    <row r="99" spans="1:14" x14ac:dyDescent="0.35">
      <c r="A99">
        <v>25872</v>
      </c>
      <c r="B99" t="s">
        <v>37</v>
      </c>
      <c r="C99" t="s">
        <v>38</v>
      </c>
      <c r="D99">
        <v>70000</v>
      </c>
      <c r="E99">
        <v>2</v>
      </c>
      <c r="F99" t="s">
        <v>13</v>
      </c>
      <c r="G99" t="s">
        <v>28</v>
      </c>
      <c r="H99" t="s">
        <v>18</v>
      </c>
      <c r="I99">
        <v>1</v>
      </c>
      <c r="J99" t="s">
        <v>22</v>
      </c>
      <c r="K99" t="s">
        <v>32</v>
      </c>
      <c r="L99">
        <v>58</v>
      </c>
      <c r="M99" t="s">
        <v>48</v>
      </c>
      <c r="N99" t="s">
        <v>15</v>
      </c>
    </row>
    <row r="100" spans="1:14" x14ac:dyDescent="0.35">
      <c r="A100">
        <v>14572</v>
      </c>
      <c r="B100" t="s">
        <v>36</v>
      </c>
      <c r="C100" t="s">
        <v>38</v>
      </c>
      <c r="D100">
        <v>70000</v>
      </c>
      <c r="E100">
        <v>3</v>
      </c>
      <c r="F100" t="s">
        <v>31</v>
      </c>
      <c r="G100" t="s">
        <v>21</v>
      </c>
      <c r="H100" t="s">
        <v>15</v>
      </c>
      <c r="I100">
        <v>0</v>
      </c>
      <c r="J100" t="s">
        <v>22</v>
      </c>
      <c r="K100" t="s">
        <v>32</v>
      </c>
      <c r="L100">
        <v>35</v>
      </c>
      <c r="M100" t="s">
        <v>47</v>
      </c>
      <c r="N100" t="s">
        <v>15</v>
      </c>
    </row>
    <row r="101" spans="1:14" x14ac:dyDescent="0.35">
      <c r="A101">
        <v>21741</v>
      </c>
      <c r="B101" t="s">
        <v>36</v>
      </c>
      <c r="C101" t="s">
        <v>38</v>
      </c>
      <c r="D101">
        <v>70000</v>
      </c>
      <c r="E101">
        <v>3</v>
      </c>
      <c r="F101" t="s">
        <v>19</v>
      </c>
      <c r="G101" t="s">
        <v>21</v>
      </c>
      <c r="H101" t="s">
        <v>15</v>
      </c>
      <c r="I101">
        <v>2</v>
      </c>
      <c r="J101" t="s">
        <v>23</v>
      </c>
      <c r="K101" t="s">
        <v>32</v>
      </c>
      <c r="L101">
        <v>50</v>
      </c>
      <c r="M101" t="s">
        <v>47</v>
      </c>
      <c r="N101" t="s">
        <v>15</v>
      </c>
    </row>
    <row r="102" spans="1:14" x14ac:dyDescent="0.35">
      <c r="A102">
        <v>25886</v>
      </c>
      <c r="B102" t="s">
        <v>36</v>
      </c>
      <c r="C102" t="s">
        <v>38</v>
      </c>
      <c r="D102">
        <v>60000</v>
      </c>
      <c r="E102">
        <v>2</v>
      </c>
      <c r="F102" t="s">
        <v>19</v>
      </c>
      <c r="G102" t="s">
        <v>21</v>
      </c>
      <c r="H102" t="s">
        <v>15</v>
      </c>
      <c r="I102">
        <v>2</v>
      </c>
      <c r="J102" t="s">
        <v>22</v>
      </c>
      <c r="K102" t="s">
        <v>32</v>
      </c>
      <c r="L102">
        <v>56</v>
      </c>
      <c r="M102" t="s">
        <v>48</v>
      </c>
      <c r="N102" t="s">
        <v>15</v>
      </c>
    </row>
    <row r="103" spans="1:14" x14ac:dyDescent="0.35">
      <c r="A103">
        <v>29237</v>
      </c>
      <c r="B103" t="s">
        <v>37</v>
      </c>
      <c r="C103" t="s">
        <v>38</v>
      </c>
      <c r="D103">
        <v>120000</v>
      </c>
      <c r="E103">
        <v>4</v>
      </c>
      <c r="F103" t="s">
        <v>19</v>
      </c>
      <c r="G103" t="s">
        <v>21</v>
      </c>
      <c r="H103" t="s">
        <v>15</v>
      </c>
      <c r="I103">
        <v>3</v>
      </c>
      <c r="J103" t="s">
        <v>23</v>
      </c>
      <c r="K103" t="s">
        <v>32</v>
      </c>
      <c r="L103">
        <v>43</v>
      </c>
      <c r="M103" t="s">
        <v>47</v>
      </c>
      <c r="N103" t="s">
        <v>15</v>
      </c>
    </row>
    <row r="104" spans="1:14" x14ac:dyDescent="0.35">
      <c r="A104">
        <v>22088</v>
      </c>
      <c r="B104" t="s">
        <v>36</v>
      </c>
      <c r="C104" t="s">
        <v>38</v>
      </c>
      <c r="D104">
        <v>130000</v>
      </c>
      <c r="E104">
        <v>1</v>
      </c>
      <c r="F104" t="s">
        <v>13</v>
      </c>
      <c r="G104" t="s">
        <v>28</v>
      </c>
      <c r="H104" t="s">
        <v>15</v>
      </c>
      <c r="I104">
        <v>2</v>
      </c>
      <c r="J104" t="s">
        <v>16</v>
      </c>
      <c r="K104" t="s">
        <v>32</v>
      </c>
      <c r="L104">
        <v>45</v>
      </c>
      <c r="M104" t="s">
        <v>47</v>
      </c>
      <c r="N104" t="s">
        <v>15</v>
      </c>
    </row>
    <row r="105" spans="1:14" x14ac:dyDescent="0.35">
      <c r="A105">
        <v>25943</v>
      </c>
      <c r="B105" t="s">
        <v>37</v>
      </c>
      <c r="C105" t="s">
        <v>38</v>
      </c>
      <c r="D105">
        <v>70000</v>
      </c>
      <c r="E105">
        <v>0</v>
      </c>
      <c r="F105" t="s">
        <v>19</v>
      </c>
      <c r="G105" t="s">
        <v>14</v>
      </c>
      <c r="H105" t="s">
        <v>18</v>
      </c>
      <c r="I105">
        <v>2</v>
      </c>
      <c r="J105" t="s">
        <v>16</v>
      </c>
      <c r="K105" t="s">
        <v>32</v>
      </c>
      <c r="L105">
        <v>27</v>
      </c>
      <c r="M105" t="s">
        <v>46</v>
      </c>
      <c r="N105" t="s">
        <v>15</v>
      </c>
    </row>
    <row r="106" spans="1:14" x14ac:dyDescent="0.35">
      <c r="A106">
        <v>18491</v>
      </c>
      <c r="B106" t="s">
        <v>37</v>
      </c>
      <c r="C106" t="s">
        <v>38</v>
      </c>
      <c r="D106">
        <v>70000</v>
      </c>
      <c r="E106">
        <v>2</v>
      </c>
      <c r="F106" t="s">
        <v>27</v>
      </c>
      <c r="G106" t="s">
        <v>21</v>
      </c>
      <c r="H106" t="s">
        <v>15</v>
      </c>
      <c r="I106">
        <v>2</v>
      </c>
      <c r="J106" t="s">
        <v>23</v>
      </c>
      <c r="K106" t="s">
        <v>24</v>
      </c>
      <c r="L106">
        <v>49</v>
      </c>
      <c r="M106" t="s">
        <v>47</v>
      </c>
      <c r="N106" t="s">
        <v>15</v>
      </c>
    </row>
    <row r="107" spans="1:14" x14ac:dyDescent="0.35">
      <c r="A107">
        <v>11259</v>
      </c>
      <c r="B107" t="s">
        <v>36</v>
      </c>
      <c r="C107" t="s">
        <v>38</v>
      </c>
      <c r="D107">
        <v>100000</v>
      </c>
      <c r="E107">
        <v>4</v>
      </c>
      <c r="F107" t="s">
        <v>19</v>
      </c>
      <c r="G107" t="s">
        <v>21</v>
      </c>
      <c r="H107" t="s">
        <v>15</v>
      </c>
      <c r="I107">
        <v>4</v>
      </c>
      <c r="J107" t="s">
        <v>22</v>
      </c>
      <c r="K107" t="s">
        <v>32</v>
      </c>
      <c r="L107">
        <v>41</v>
      </c>
      <c r="M107" t="s">
        <v>47</v>
      </c>
      <c r="N107" t="s">
        <v>15</v>
      </c>
    </row>
    <row r="108" spans="1:14" x14ac:dyDescent="0.35">
      <c r="A108">
        <v>11538</v>
      </c>
      <c r="B108" t="s">
        <v>37</v>
      </c>
      <c r="C108" t="s">
        <v>38</v>
      </c>
      <c r="D108">
        <v>60000</v>
      </c>
      <c r="E108">
        <v>4</v>
      </c>
      <c r="F108" t="s">
        <v>31</v>
      </c>
      <c r="G108" t="s">
        <v>14</v>
      </c>
      <c r="H108" t="s">
        <v>18</v>
      </c>
      <c r="I108">
        <v>0</v>
      </c>
      <c r="J108" t="s">
        <v>16</v>
      </c>
      <c r="K108" t="s">
        <v>32</v>
      </c>
      <c r="L108">
        <v>47</v>
      </c>
      <c r="M108" t="s">
        <v>47</v>
      </c>
      <c r="N108" t="s">
        <v>15</v>
      </c>
    </row>
    <row r="109" spans="1:14" x14ac:dyDescent="0.35">
      <c r="A109">
        <v>27494</v>
      </c>
      <c r="B109" t="s">
        <v>37</v>
      </c>
      <c r="C109" t="s">
        <v>38</v>
      </c>
      <c r="D109">
        <v>40000</v>
      </c>
      <c r="E109">
        <v>2</v>
      </c>
      <c r="F109" t="s">
        <v>19</v>
      </c>
      <c r="G109" t="s">
        <v>14</v>
      </c>
      <c r="H109" t="s">
        <v>18</v>
      </c>
      <c r="I109">
        <v>2</v>
      </c>
      <c r="J109" t="s">
        <v>26</v>
      </c>
      <c r="K109" t="s">
        <v>24</v>
      </c>
      <c r="L109">
        <v>53</v>
      </c>
      <c r="M109" t="s">
        <v>47</v>
      </c>
      <c r="N109" t="s">
        <v>15</v>
      </c>
    </row>
    <row r="110" spans="1:14" x14ac:dyDescent="0.35">
      <c r="A110">
        <v>26829</v>
      </c>
      <c r="B110" t="s">
        <v>36</v>
      </c>
      <c r="C110" t="s">
        <v>38</v>
      </c>
      <c r="D110">
        <v>40000</v>
      </c>
      <c r="E110">
        <v>0</v>
      </c>
      <c r="F110" t="s">
        <v>13</v>
      </c>
      <c r="G110" t="s">
        <v>20</v>
      </c>
      <c r="H110" t="s">
        <v>15</v>
      </c>
      <c r="I110">
        <v>0</v>
      </c>
      <c r="J110" t="s">
        <v>16</v>
      </c>
      <c r="K110" t="s">
        <v>17</v>
      </c>
      <c r="L110">
        <v>38</v>
      </c>
      <c r="M110" t="s">
        <v>47</v>
      </c>
      <c r="N110" t="s">
        <v>15</v>
      </c>
    </row>
    <row r="111" spans="1:14" x14ac:dyDescent="0.35">
      <c r="A111">
        <v>22994</v>
      </c>
      <c r="B111" t="s">
        <v>36</v>
      </c>
      <c r="C111" t="s">
        <v>38</v>
      </c>
      <c r="D111">
        <v>80000</v>
      </c>
      <c r="E111">
        <v>0</v>
      </c>
      <c r="F111" t="s">
        <v>13</v>
      </c>
      <c r="G111" t="s">
        <v>28</v>
      </c>
      <c r="H111" t="s">
        <v>15</v>
      </c>
      <c r="I111">
        <v>1</v>
      </c>
      <c r="J111" t="s">
        <v>26</v>
      </c>
      <c r="K111" t="s">
        <v>32</v>
      </c>
      <c r="L111">
        <v>34</v>
      </c>
      <c r="M111" t="s">
        <v>47</v>
      </c>
      <c r="N111" t="s">
        <v>15</v>
      </c>
    </row>
    <row r="112" spans="1:14" x14ac:dyDescent="0.35">
      <c r="A112">
        <v>21006</v>
      </c>
      <c r="B112" t="s">
        <v>37</v>
      </c>
      <c r="C112" t="s">
        <v>38</v>
      </c>
      <c r="D112">
        <v>30000</v>
      </c>
      <c r="E112">
        <v>1</v>
      </c>
      <c r="F112" t="s">
        <v>19</v>
      </c>
      <c r="G112" t="s">
        <v>25</v>
      </c>
      <c r="H112" t="s">
        <v>18</v>
      </c>
      <c r="I112">
        <v>0</v>
      </c>
      <c r="J112" t="s">
        <v>16</v>
      </c>
      <c r="K112" t="s">
        <v>17</v>
      </c>
      <c r="L112">
        <v>46</v>
      </c>
      <c r="M112" t="s">
        <v>47</v>
      </c>
      <c r="N112" t="s">
        <v>15</v>
      </c>
    </row>
    <row r="113" spans="1:14" x14ac:dyDescent="0.35">
      <c r="A113">
        <v>16145</v>
      </c>
      <c r="B113" t="s">
        <v>37</v>
      </c>
      <c r="C113" t="s">
        <v>38</v>
      </c>
      <c r="D113">
        <v>70000</v>
      </c>
      <c r="E113">
        <v>5</v>
      </c>
      <c r="F113" t="s">
        <v>31</v>
      </c>
      <c r="G113" t="s">
        <v>21</v>
      </c>
      <c r="H113" t="s">
        <v>15</v>
      </c>
      <c r="I113">
        <v>3</v>
      </c>
      <c r="J113" t="s">
        <v>44</v>
      </c>
      <c r="K113" t="s">
        <v>32</v>
      </c>
      <c r="L113">
        <v>46</v>
      </c>
      <c r="M113" t="s">
        <v>47</v>
      </c>
      <c r="N113" t="s">
        <v>15</v>
      </c>
    </row>
    <row r="114" spans="1:14" x14ac:dyDescent="0.35">
      <c r="A114">
        <v>19002</v>
      </c>
      <c r="B114" t="s">
        <v>36</v>
      </c>
      <c r="C114" t="s">
        <v>38</v>
      </c>
      <c r="D114">
        <v>60000</v>
      </c>
      <c r="E114">
        <v>2</v>
      </c>
      <c r="F114" t="s">
        <v>19</v>
      </c>
      <c r="G114" t="s">
        <v>21</v>
      </c>
      <c r="H114" t="s">
        <v>15</v>
      </c>
      <c r="I114">
        <v>1</v>
      </c>
      <c r="J114" t="s">
        <v>22</v>
      </c>
      <c r="K114" t="s">
        <v>32</v>
      </c>
      <c r="L114">
        <v>57</v>
      </c>
      <c r="M114" t="s">
        <v>48</v>
      </c>
      <c r="N114" t="s">
        <v>15</v>
      </c>
    </row>
    <row r="115" spans="1:14" x14ac:dyDescent="0.35">
      <c r="A115">
        <v>29191</v>
      </c>
      <c r="B115" t="s">
        <v>37</v>
      </c>
      <c r="C115" t="s">
        <v>38</v>
      </c>
      <c r="D115">
        <v>130000</v>
      </c>
      <c r="E115">
        <v>1</v>
      </c>
      <c r="F115" t="s">
        <v>31</v>
      </c>
      <c r="G115" t="s">
        <v>28</v>
      </c>
      <c r="H115" t="s">
        <v>18</v>
      </c>
      <c r="I115">
        <v>1</v>
      </c>
      <c r="J115" t="s">
        <v>16</v>
      </c>
      <c r="K115" t="s">
        <v>24</v>
      </c>
      <c r="L115">
        <v>36</v>
      </c>
      <c r="M115" t="s">
        <v>47</v>
      </c>
      <c r="N115" t="s">
        <v>15</v>
      </c>
    </row>
    <row r="116" spans="1:14" x14ac:dyDescent="0.35">
      <c r="A116">
        <v>19812</v>
      </c>
      <c r="B116" t="s">
        <v>37</v>
      </c>
      <c r="C116" t="s">
        <v>38</v>
      </c>
      <c r="D116">
        <v>70000</v>
      </c>
      <c r="E116">
        <v>2</v>
      </c>
      <c r="F116" t="s">
        <v>19</v>
      </c>
      <c r="G116" t="s">
        <v>21</v>
      </c>
      <c r="H116" t="s">
        <v>15</v>
      </c>
      <c r="I116">
        <v>0</v>
      </c>
      <c r="J116" t="s">
        <v>23</v>
      </c>
      <c r="K116" t="s">
        <v>32</v>
      </c>
      <c r="L116">
        <v>49</v>
      </c>
      <c r="M116" t="s">
        <v>47</v>
      </c>
      <c r="N116" t="s">
        <v>15</v>
      </c>
    </row>
    <row r="117" spans="1:14" x14ac:dyDescent="0.35">
      <c r="A117">
        <v>23158</v>
      </c>
      <c r="B117" t="s">
        <v>36</v>
      </c>
      <c r="C117" t="s">
        <v>38</v>
      </c>
      <c r="D117">
        <v>60000</v>
      </c>
      <c r="E117">
        <v>1</v>
      </c>
      <c r="F117" t="s">
        <v>31</v>
      </c>
      <c r="G117" t="s">
        <v>21</v>
      </c>
      <c r="H117" t="s">
        <v>18</v>
      </c>
      <c r="I117">
        <v>0</v>
      </c>
      <c r="J117" t="s">
        <v>16</v>
      </c>
      <c r="K117" t="s">
        <v>32</v>
      </c>
      <c r="L117">
        <v>35</v>
      </c>
      <c r="M117" t="s">
        <v>47</v>
      </c>
      <c r="N117" t="s">
        <v>15</v>
      </c>
    </row>
    <row r="118" spans="1:14" x14ac:dyDescent="0.35">
      <c r="A118">
        <v>16871</v>
      </c>
      <c r="B118" t="s">
        <v>36</v>
      </c>
      <c r="C118" t="s">
        <v>38</v>
      </c>
      <c r="D118">
        <v>90000</v>
      </c>
      <c r="E118">
        <v>2</v>
      </c>
      <c r="F118" t="s">
        <v>27</v>
      </c>
      <c r="G118" t="s">
        <v>21</v>
      </c>
      <c r="H118" t="s">
        <v>15</v>
      </c>
      <c r="I118">
        <v>1</v>
      </c>
      <c r="J118" t="s">
        <v>44</v>
      </c>
      <c r="K118" t="s">
        <v>32</v>
      </c>
      <c r="L118">
        <v>51</v>
      </c>
      <c r="M118" t="s">
        <v>47</v>
      </c>
      <c r="N118" t="s">
        <v>15</v>
      </c>
    </row>
    <row r="119" spans="1:14" x14ac:dyDescent="0.35">
      <c r="A119">
        <v>24065</v>
      </c>
      <c r="B119" t="s">
        <v>37</v>
      </c>
      <c r="C119" t="s">
        <v>38</v>
      </c>
      <c r="D119">
        <v>20000</v>
      </c>
      <c r="E119">
        <v>0</v>
      </c>
      <c r="F119" t="s">
        <v>27</v>
      </c>
      <c r="G119" t="s">
        <v>25</v>
      </c>
      <c r="H119" t="s">
        <v>15</v>
      </c>
      <c r="I119">
        <v>0</v>
      </c>
      <c r="J119" t="s">
        <v>16</v>
      </c>
      <c r="K119" t="s">
        <v>17</v>
      </c>
      <c r="L119">
        <v>40</v>
      </c>
      <c r="M119" t="s">
        <v>47</v>
      </c>
      <c r="N119" t="s">
        <v>15</v>
      </c>
    </row>
    <row r="120" spans="1:14" x14ac:dyDescent="0.35">
      <c r="A120">
        <v>21266</v>
      </c>
      <c r="B120" t="s">
        <v>37</v>
      </c>
      <c r="C120" t="s">
        <v>38</v>
      </c>
      <c r="D120">
        <v>80000</v>
      </c>
      <c r="E120">
        <v>0</v>
      </c>
      <c r="F120" t="s">
        <v>13</v>
      </c>
      <c r="G120" t="s">
        <v>28</v>
      </c>
      <c r="H120" t="s">
        <v>15</v>
      </c>
      <c r="I120">
        <v>1</v>
      </c>
      <c r="J120" t="s">
        <v>26</v>
      </c>
      <c r="K120" t="s">
        <v>32</v>
      </c>
      <c r="L120">
        <v>34</v>
      </c>
      <c r="M120" t="s">
        <v>47</v>
      </c>
      <c r="N120" t="s">
        <v>15</v>
      </c>
    </row>
    <row r="121" spans="1:14" x14ac:dyDescent="0.35">
      <c r="A121">
        <v>18560</v>
      </c>
      <c r="B121" t="s">
        <v>36</v>
      </c>
      <c r="C121" t="s">
        <v>38</v>
      </c>
      <c r="D121">
        <v>70000</v>
      </c>
      <c r="E121">
        <v>2</v>
      </c>
      <c r="F121" t="s">
        <v>31</v>
      </c>
      <c r="G121" t="s">
        <v>21</v>
      </c>
      <c r="H121" t="s">
        <v>15</v>
      </c>
      <c r="I121">
        <v>0</v>
      </c>
      <c r="J121" t="s">
        <v>22</v>
      </c>
      <c r="K121" t="s">
        <v>32</v>
      </c>
      <c r="L121">
        <v>34</v>
      </c>
      <c r="M121" t="s">
        <v>47</v>
      </c>
      <c r="N121" t="s">
        <v>15</v>
      </c>
    </row>
    <row r="122" spans="1:14" x14ac:dyDescent="0.35">
      <c r="A122">
        <v>22988</v>
      </c>
      <c r="B122" t="s">
        <v>36</v>
      </c>
      <c r="C122" t="s">
        <v>38</v>
      </c>
      <c r="D122">
        <v>40000</v>
      </c>
      <c r="E122">
        <v>2</v>
      </c>
      <c r="F122" t="s">
        <v>13</v>
      </c>
      <c r="G122" t="s">
        <v>28</v>
      </c>
      <c r="H122" t="s">
        <v>15</v>
      </c>
      <c r="I122">
        <v>2</v>
      </c>
      <c r="J122" t="s">
        <v>23</v>
      </c>
      <c r="K122" t="s">
        <v>24</v>
      </c>
      <c r="L122">
        <v>66</v>
      </c>
      <c r="M122" t="s">
        <v>48</v>
      </c>
      <c r="N122" t="s">
        <v>15</v>
      </c>
    </row>
    <row r="123" spans="1:14" x14ac:dyDescent="0.35">
      <c r="A123">
        <v>18580</v>
      </c>
      <c r="B123" t="s">
        <v>36</v>
      </c>
      <c r="C123" t="s">
        <v>38</v>
      </c>
      <c r="D123">
        <v>60000</v>
      </c>
      <c r="E123">
        <v>2</v>
      </c>
      <c r="F123" t="s">
        <v>31</v>
      </c>
      <c r="G123" t="s">
        <v>21</v>
      </c>
      <c r="H123" t="s">
        <v>15</v>
      </c>
      <c r="I123">
        <v>0</v>
      </c>
      <c r="J123" t="s">
        <v>22</v>
      </c>
      <c r="K123" t="s">
        <v>32</v>
      </c>
      <c r="L123">
        <v>40</v>
      </c>
      <c r="M123" t="s">
        <v>47</v>
      </c>
      <c r="N123" t="s">
        <v>15</v>
      </c>
    </row>
    <row r="124" spans="1:14" x14ac:dyDescent="0.35">
      <c r="A124">
        <v>14063</v>
      </c>
      <c r="B124" t="s">
        <v>37</v>
      </c>
      <c r="C124" t="s">
        <v>38</v>
      </c>
      <c r="D124">
        <v>70000</v>
      </c>
      <c r="E124">
        <v>0</v>
      </c>
      <c r="F124" t="s">
        <v>13</v>
      </c>
      <c r="G124" t="s">
        <v>21</v>
      </c>
      <c r="H124" t="s">
        <v>18</v>
      </c>
      <c r="I124">
        <v>1</v>
      </c>
      <c r="J124" t="s">
        <v>16</v>
      </c>
      <c r="K124" t="s">
        <v>24</v>
      </c>
      <c r="L124">
        <v>42</v>
      </c>
      <c r="M124" t="s">
        <v>47</v>
      </c>
      <c r="N124" t="s">
        <v>15</v>
      </c>
    </row>
    <row r="125" spans="1:14" x14ac:dyDescent="0.35">
      <c r="A125">
        <v>13453</v>
      </c>
      <c r="B125" t="s">
        <v>36</v>
      </c>
      <c r="C125" t="s">
        <v>38</v>
      </c>
      <c r="D125">
        <v>130000</v>
      </c>
      <c r="E125">
        <v>3</v>
      </c>
      <c r="F125" t="s">
        <v>13</v>
      </c>
      <c r="G125" t="s">
        <v>28</v>
      </c>
      <c r="H125" t="s">
        <v>15</v>
      </c>
      <c r="I125">
        <v>3</v>
      </c>
      <c r="J125" t="s">
        <v>16</v>
      </c>
      <c r="K125" t="s">
        <v>32</v>
      </c>
      <c r="L125">
        <v>45</v>
      </c>
      <c r="M125" t="s">
        <v>47</v>
      </c>
      <c r="N125" t="s">
        <v>15</v>
      </c>
    </row>
    <row r="126" spans="1:14" x14ac:dyDescent="0.35">
      <c r="A126">
        <v>27775</v>
      </c>
      <c r="B126" t="s">
        <v>37</v>
      </c>
      <c r="C126" t="s">
        <v>38</v>
      </c>
      <c r="D126">
        <v>40000</v>
      </c>
      <c r="E126">
        <v>0</v>
      </c>
      <c r="F126" t="s">
        <v>13</v>
      </c>
      <c r="G126" t="s">
        <v>20</v>
      </c>
      <c r="H126" t="s">
        <v>18</v>
      </c>
      <c r="I126">
        <v>0</v>
      </c>
      <c r="J126" t="s">
        <v>16</v>
      </c>
      <c r="K126" t="s">
        <v>17</v>
      </c>
      <c r="L126">
        <v>38</v>
      </c>
      <c r="M126" t="s">
        <v>47</v>
      </c>
      <c r="N126" t="s">
        <v>15</v>
      </c>
    </row>
    <row r="127" spans="1:14" x14ac:dyDescent="0.35">
      <c r="A127">
        <v>22294</v>
      </c>
      <c r="B127" t="s">
        <v>37</v>
      </c>
      <c r="C127" t="s">
        <v>38</v>
      </c>
      <c r="D127">
        <v>70000</v>
      </c>
      <c r="E127">
        <v>0</v>
      </c>
      <c r="F127" t="s">
        <v>13</v>
      </c>
      <c r="G127" t="s">
        <v>21</v>
      </c>
      <c r="H127" t="s">
        <v>18</v>
      </c>
      <c r="I127">
        <v>1</v>
      </c>
      <c r="J127" t="s">
        <v>22</v>
      </c>
      <c r="K127" t="s">
        <v>32</v>
      </c>
      <c r="L127">
        <v>37</v>
      </c>
      <c r="M127" t="s">
        <v>47</v>
      </c>
      <c r="N127" t="s">
        <v>15</v>
      </c>
    </row>
    <row r="128" spans="1:14" x14ac:dyDescent="0.35">
      <c r="A128">
        <v>14900</v>
      </c>
      <c r="B128" t="s">
        <v>36</v>
      </c>
      <c r="C128" t="s">
        <v>38</v>
      </c>
      <c r="D128">
        <v>40000</v>
      </c>
      <c r="E128">
        <v>1</v>
      </c>
      <c r="F128" t="s">
        <v>19</v>
      </c>
      <c r="G128" t="s">
        <v>20</v>
      </c>
      <c r="H128" t="s">
        <v>15</v>
      </c>
      <c r="I128">
        <v>1</v>
      </c>
      <c r="J128" t="s">
        <v>26</v>
      </c>
      <c r="K128" t="s">
        <v>32</v>
      </c>
      <c r="L128">
        <v>49</v>
      </c>
      <c r="M128" t="s">
        <v>47</v>
      </c>
      <c r="N128" t="s">
        <v>15</v>
      </c>
    </row>
    <row r="129" spans="1:14" x14ac:dyDescent="0.35">
      <c r="A129">
        <v>13907</v>
      </c>
      <c r="B129" t="s">
        <v>37</v>
      </c>
      <c r="C129" t="s">
        <v>38</v>
      </c>
      <c r="D129">
        <v>80000</v>
      </c>
      <c r="E129">
        <v>3</v>
      </c>
      <c r="F129" t="s">
        <v>13</v>
      </c>
      <c r="G129" t="s">
        <v>14</v>
      </c>
      <c r="H129" t="s">
        <v>15</v>
      </c>
      <c r="I129">
        <v>1</v>
      </c>
      <c r="J129" t="s">
        <v>16</v>
      </c>
      <c r="K129" t="s">
        <v>32</v>
      </c>
      <c r="L129">
        <v>41</v>
      </c>
      <c r="M129" t="s">
        <v>47</v>
      </c>
      <c r="N129" t="s">
        <v>15</v>
      </c>
    </row>
    <row r="130" spans="1:14" x14ac:dyDescent="0.35">
      <c r="A130">
        <v>29143</v>
      </c>
      <c r="B130" t="s">
        <v>37</v>
      </c>
      <c r="C130" t="s">
        <v>38</v>
      </c>
      <c r="D130">
        <v>60000</v>
      </c>
      <c r="E130">
        <v>1</v>
      </c>
      <c r="F130" t="s">
        <v>13</v>
      </c>
      <c r="G130" t="s">
        <v>21</v>
      </c>
      <c r="H130" t="s">
        <v>18</v>
      </c>
      <c r="I130">
        <v>1</v>
      </c>
      <c r="J130" t="s">
        <v>16</v>
      </c>
      <c r="K130" t="s">
        <v>32</v>
      </c>
      <c r="L130">
        <v>44</v>
      </c>
      <c r="M130" t="s">
        <v>47</v>
      </c>
      <c r="N130" t="s">
        <v>15</v>
      </c>
    </row>
    <row r="131" spans="1:14" x14ac:dyDescent="0.35">
      <c r="A131">
        <v>23586</v>
      </c>
      <c r="B131" t="s">
        <v>36</v>
      </c>
      <c r="C131" t="s">
        <v>38</v>
      </c>
      <c r="D131">
        <v>80000</v>
      </c>
      <c r="E131">
        <v>0</v>
      </c>
      <c r="F131" t="s">
        <v>13</v>
      </c>
      <c r="G131" t="s">
        <v>28</v>
      </c>
      <c r="H131" t="s">
        <v>15</v>
      </c>
      <c r="I131">
        <v>1</v>
      </c>
      <c r="J131" t="s">
        <v>26</v>
      </c>
      <c r="K131" t="s">
        <v>32</v>
      </c>
      <c r="L131">
        <v>34</v>
      </c>
      <c r="M131" t="s">
        <v>47</v>
      </c>
      <c r="N131" t="s">
        <v>15</v>
      </c>
    </row>
    <row r="132" spans="1:14" x14ac:dyDescent="0.35">
      <c r="A132">
        <v>13353</v>
      </c>
      <c r="B132" t="s">
        <v>37</v>
      </c>
      <c r="C132" t="s">
        <v>38</v>
      </c>
      <c r="D132">
        <v>60000</v>
      </c>
      <c r="E132">
        <v>4</v>
      </c>
      <c r="F132" t="s">
        <v>31</v>
      </c>
      <c r="G132" t="s">
        <v>28</v>
      </c>
      <c r="H132" t="s">
        <v>15</v>
      </c>
      <c r="I132">
        <v>2</v>
      </c>
      <c r="J132" t="s">
        <v>44</v>
      </c>
      <c r="K132" t="s">
        <v>32</v>
      </c>
      <c r="L132">
        <v>61</v>
      </c>
      <c r="M132" t="s">
        <v>48</v>
      </c>
      <c r="N132" t="s">
        <v>15</v>
      </c>
    </row>
    <row r="133" spans="1:14" x14ac:dyDescent="0.35">
      <c r="A133">
        <v>18052</v>
      </c>
      <c r="B133" t="s">
        <v>36</v>
      </c>
      <c r="C133" t="s">
        <v>38</v>
      </c>
      <c r="D133">
        <v>60000</v>
      </c>
      <c r="E133">
        <v>1</v>
      </c>
      <c r="F133" t="s">
        <v>19</v>
      </c>
      <c r="G133" t="s">
        <v>14</v>
      </c>
      <c r="H133" t="s">
        <v>15</v>
      </c>
      <c r="I133">
        <v>1</v>
      </c>
      <c r="J133" t="s">
        <v>16</v>
      </c>
      <c r="K133" t="s">
        <v>32</v>
      </c>
      <c r="L133">
        <v>45</v>
      </c>
      <c r="M133" t="s">
        <v>47</v>
      </c>
      <c r="N133" t="s">
        <v>15</v>
      </c>
    </row>
    <row r="134" spans="1:14" x14ac:dyDescent="0.35">
      <c r="A134">
        <v>24738</v>
      </c>
      <c r="B134" t="s">
        <v>36</v>
      </c>
      <c r="C134" t="s">
        <v>38</v>
      </c>
      <c r="D134">
        <v>40000</v>
      </c>
      <c r="E134">
        <v>1</v>
      </c>
      <c r="F134" t="s">
        <v>19</v>
      </c>
      <c r="G134" t="s">
        <v>20</v>
      </c>
      <c r="H134" t="s">
        <v>15</v>
      </c>
      <c r="I134">
        <v>1</v>
      </c>
      <c r="J134" t="s">
        <v>26</v>
      </c>
      <c r="K134" t="s">
        <v>32</v>
      </c>
      <c r="L134">
        <v>51</v>
      </c>
      <c r="M134" t="s">
        <v>47</v>
      </c>
      <c r="N134" t="s">
        <v>15</v>
      </c>
    </row>
    <row r="135" spans="1:14" x14ac:dyDescent="0.35">
      <c r="A135">
        <v>25074</v>
      </c>
      <c r="B135" t="s">
        <v>36</v>
      </c>
      <c r="C135" t="s">
        <v>38</v>
      </c>
      <c r="D135">
        <v>70000</v>
      </c>
      <c r="E135">
        <v>4</v>
      </c>
      <c r="F135" t="s">
        <v>13</v>
      </c>
      <c r="G135" t="s">
        <v>21</v>
      </c>
      <c r="H135" t="s">
        <v>15</v>
      </c>
      <c r="I135">
        <v>2</v>
      </c>
      <c r="J135" t="s">
        <v>22</v>
      </c>
      <c r="K135" t="s">
        <v>32</v>
      </c>
      <c r="L135">
        <v>42</v>
      </c>
      <c r="M135" t="s">
        <v>47</v>
      </c>
      <c r="N135" t="s">
        <v>15</v>
      </c>
    </row>
    <row r="136" spans="1:14" x14ac:dyDescent="0.35">
      <c r="A136">
        <v>20339</v>
      </c>
      <c r="B136" t="s">
        <v>36</v>
      </c>
      <c r="C136" t="s">
        <v>38</v>
      </c>
      <c r="D136">
        <v>130000</v>
      </c>
      <c r="E136">
        <v>1</v>
      </c>
      <c r="F136" t="s">
        <v>13</v>
      </c>
      <c r="G136" t="s">
        <v>28</v>
      </c>
      <c r="H136" t="s">
        <v>15</v>
      </c>
      <c r="I136">
        <v>4</v>
      </c>
      <c r="J136" t="s">
        <v>22</v>
      </c>
      <c r="K136" t="s">
        <v>32</v>
      </c>
      <c r="L136">
        <v>44</v>
      </c>
      <c r="M136" t="s">
        <v>47</v>
      </c>
      <c r="N136" t="s">
        <v>15</v>
      </c>
    </row>
    <row r="137" spans="1:14" x14ac:dyDescent="0.35">
      <c r="A137">
        <v>26575</v>
      </c>
      <c r="B137" t="s">
        <v>37</v>
      </c>
      <c r="C137" t="s">
        <v>38</v>
      </c>
      <c r="D137">
        <v>40000</v>
      </c>
      <c r="E137">
        <v>0</v>
      </c>
      <c r="F137" t="s">
        <v>27</v>
      </c>
      <c r="G137" t="s">
        <v>14</v>
      </c>
      <c r="H137" t="s">
        <v>18</v>
      </c>
      <c r="I137">
        <v>2</v>
      </c>
      <c r="J137" t="s">
        <v>26</v>
      </c>
      <c r="K137" t="s">
        <v>32</v>
      </c>
      <c r="L137">
        <v>31</v>
      </c>
      <c r="M137" t="s">
        <v>46</v>
      </c>
      <c r="N137" t="s">
        <v>15</v>
      </c>
    </row>
    <row r="138" spans="1:14" x14ac:dyDescent="0.35">
      <c r="A138">
        <v>28683</v>
      </c>
      <c r="B138" t="s">
        <v>37</v>
      </c>
      <c r="C138" t="s">
        <v>38</v>
      </c>
      <c r="D138">
        <v>10000</v>
      </c>
      <c r="E138">
        <v>1</v>
      </c>
      <c r="F138" t="s">
        <v>27</v>
      </c>
      <c r="G138" t="s">
        <v>25</v>
      </c>
      <c r="H138" t="s">
        <v>18</v>
      </c>
      <c r="I138">
        <v>1</v>
      </c>
      <c r="J138" t="s">
        <v>23</v>
      </c>
      <c r="K138" t="s">
        <v>17</v>
      </c>
      <c r="L138">
        <v>35</v>
      </c>
      <c r="M138" t="s">
        <v>47</v>
      </c>
      <c r="N138" t="s">
        <v>15</v>
      </c>
    </row>
    <row r="139" spans="1:14" x14ac:dyDescent="0.35">
      <c r="A139">
        <v>15302</v>
      </c>
      <c r="B139" t="s">
        <v>37</v>
      </c>
      <c r="C139" t="s">
        <v>38</v>
      </c>
      <c r="D139">
        <v>70000</v>
      </c>
      <c r="E139">
        <v>1</v>
      </c>
      <c r="F139" t="s">
        <v>31</v>
      </c>
      <c r="G139" t="s">
        <v>21</v>
      </c>
      <c r="H139" t="s">
        <v>15</v>
      </c>
      <c r="I139">
        <v>0</v>
      </c>
      <c r="J139" t="s">
        <v>22</v>
      </c>
      <c r="K139" t="s">
        <v>32</v>
      </c>
      <c r="L139">
        <v>34</v>
      </c>
      <c r="M139" t="s">
        <v>47</v>
      </c>
      <c r="N139" t="s">
        <v>15</v>
      </c>
    </row>
    <row r="140" spans="1:14" x14ac:dyDescent="0.35">
      <c r="A140">
        <v>24273</v>
      </c>
      <c r="B140" t="s">
        <v>36</v>
      </c>
      <c r="C140" t="s">
        <v>38</v>
      </c>
      <c r="D140">
        <v>20000</v>
      </c>
      <c r="E140">
        <v>2</v>
      </c>
      <c r="F140" t="s">
        <v>29</v>
      </c>
      <c r="G140" t="s">
        <v>20</v>
      </c>
      <c r="H140" t="s">
        <v>15</v>
      </c>
      <c r="I140">
        <v>2</v>
      </c>
      <c r="J140" t="s">
        <v>23</v>
      </c>
      <c r="K140" t="s">
        <v>24</v>
      </c>
      <c r="L140">
        <v>55</v>
      </c>
      <c r="M140" t="s">
        <v>48</v>
      </c>
      <c r="N140" t="s">
        <v>15</v>
      </c>
    </row>
    <row r="141" spans="1:14" x14ac:dyDescent="0.35">
      <c r="A141">
        <v>26547</v>
      </c>
      <c r="B141" t="s">
        <v>37</v>
      </c>
      <c r="C141" t="s">
        <v>38</v>
      </c>
      <c r="D141">
        <v>30000</v>
      </c>
      <c r="E141">
        <v>2</v>
      </c>
      <c r="F141" t="s">
        <v>19</v>
      </c>
      <c r="G141" t="s">
        <v>20</v>
      </c>
      <c r="H141" t="s">
        <v>18</v>
      </c>
      <c r="I141">
        <v>2</v>
      </c>
      <c r="J141" t="s">
        <v>23</v>
      </c>
      <c r="K141" t="s">
        <v>24</v>
      </c>
      <c r="L141">
        <v>60</v>
      </c>
      <c r="M141" t="s">
        <v>48</v>
      </c>
      <c r="N141" t="s">
        <v>15</v>
      </c>
    </row>
    <row r="142" spans="1:14" x14ac:dyDescent="0.35">
      <c r="A142">
        <v>20678</v>
      </c>
      <c r="B142" t="s">
        <v>37</v>
      </c>
      <c r="C142" t="s">
        <v>38</v>
      </c>
      <c r="D142">
        <v>60000</v>
      </c>
      <c r="E142">
        <v>3</v>
      </c>
      <c r="F142" t="s">
        <v>13</v>
      </c>
      <c r="G142" t="s">
        <v>14</v>
      </c>
      <c r="H142" t="s">
        <v>15</v>
      </c>
      <c r="I142">
        <v>1</v>
      </c>
      <c r="J142" t="s">
        <v>22</v>
      </c>
      <c r="K142" t="s">
        <v>32</v>
      </c>
      <c r="L142">
        <v>40</v>
      </c>
      <c r="M142" t="s">
        <v>47</v>
      </c>
      <c r="N142" t="s">
        <v>15</v>
      </c>
    </row>
    <row r="143" spans="1:14" x14ac:dyDescent="0.35">
      <c r="A143">
        <v>23993</v>
      </c>
      <c r="B143" t="s">
        <v>37</v>
      </c>
      <c r="C143" t="s">
        <v>38</v>
      </c>
      <c r="D143">
        <v>10000</v>
      </c>
      <c r="E143">
        <v>0</v>
      </c>
      <c r="F143" t="s">
        <v>19</v>
      </c>
      <c r="G143" t="s">
        <v>25</v>
      </c>
      <c r="H143" t="s">
        <v>18</v>
      </c>
      <c r="I143">
        <v>1</v>
      </c>
      <c r="J143" t="s">
        <v>16</v>
      </c>
      <c r="K143" t="s">
        <v>24</v>
      </c>
      <c r="L143">
        <v>26</v>
      </c>
      <c r="M143" t="s">
        <v>46</v>
      </c>
      <c r="N143" t="s">
        <v>15</v>
      </c>
    </row>
    <row r="144" spans="1:14" x14ac:dyDescent="0.35">
      <c r="A144">
        <v>26238</v>
      </c>
      <c r="B144" t="s">
        <v>37</v>
      </c>
      <c r="C144" t="s">
        <v>38</v>
      </c>
      <c r="D144">
        <v>40000</v>
      </c>
      <c r="E144">
        <v>3</v>
      </c>
      <c r="F144" t="s">
        <v>19</v>
      </c>
      <c r="G144" t="s">
        <v>20</v>
      </c>
      <c r="H144" t="s">
        <v>15</v>
      </c>
      <c r="I144">
        <v>1</v>
      </c>
      <c r="J144" t="s">
        <v>26</v>
      </c>
      <c r="K144" t="s">
        <v>32</v>
      </c>
      <c r="L144">
        <v>31</v>
      </c>
      <c r="M144" t="s">
        <v>46</v>
      </c>
      <c r="N144" t="s">
        <v>15</v>
      </c>
    </row>
    <row r="145" spans="1:14" x14ac:dyDescent="0.35">
      <c r="A145">
        <v>25681</v>
      </c>
      <c r="B145" t="s">
        <v>37</v>
      </c>
      <c r="C145" t="s">
        <v>38</v>
      </c>
      <c r="D145">
        <v>30000</v>
      </c>
      <c r="E145">
        <v>0</v>
      </c>
      <c r="F145" t="s">
        <v>19</v>
      </c>
      <c r="G145" t="s">
        <v>20</v>
      </c>
      <c r="H145" t="s">
        <v>18</v>
      </c>
      <c r="I145">
        <v>1</v>
      </c>
      <c r="J145" t="s">
        <v>22</v>
      </c>
      <c r="K145" t="s">
        <v>17</v>
      </c>
      <c r="L145">
        <v>31</v>
      </c>
      <c r="M145" t="s">
        <v>46</v>
      </c>
      <c r="N145" t="s">
        <v>15</v>
      </c>
    </row>
    <row r="146" spans="1:14" x14ac:dyDescent="0.35">
      <c r="A146">
        <v>28564</v>
      </c>
      <c r="B146" t="s">
        <v>37</v>
      </c>
      <c r="C146" t="s">
        <v>38</v>
      </c>
      <c r="D146">
        <v>40000</v>
      </c>
      <c r="E146">
        <v>2</v>
      </c>
      <c r="F146" t="s">
        <v>19</v>
      </c>
      <c r="G146" t="s">
        <v>20</v>
      </c>
      <c r="H146" t="s">
        <v>15</v>
      </c>
      <c r="I146">
        <v>0</v>
      </c>
      <c r="J146" t="s">
        <v>26</v>
      </c>
      <c r="K146" t="s">
        <v>17</v>
      </c>
      <c r="L146">
        <v>33</v>
      </c>
      <c r="M146" t="s">
        <v>47</v>
      </c>
      <c r="N146" t="s">
        <v>15</v>
      </c>
    </row>
    <row r="147" spans="1:14" x14ac:dyDescent="0.35">
      <c r="A147">
        <v>21974</v>
      </c>
      <c r="B147" t="s">
        <v>37</v>
      </c>
      <c r="C147" t="s">
        <v>38</v>
      </c>
      <c r="D147">
        <v>70000</v>
      </c>
      <c r="E147">
        <v>0</v>
      </c>
      <c r="F147" t="s">
        <v>13</v>
      </c>
      <c r="G147" t="s">
        <v>21</v>
      </c>
      <c r="H147" t="s">
        <v>15</v>
      </c>
      <c r="I147">
        <v>1</v>
      </c>
      <c r="J147" t="s">
        <v>23</v>
      </c>
      <c r="K147" t="s">
        <v>24</v>
      </c>
      <c r="L147">
        <v>42</v>
      </c>
      <c r="M147" t="s">
        <v>47</v>
      </c>
      <c r="N147" t="s">
        <v>15</v>
      </c>
    </row>
    <row r="148" spans="1:14" x14ac:dyDescent="0.35">
      <c r="A148">
        <v>27585</v>
      </c>
      <c r="B148" t="s">
        <v>36</v>
      </c>
      <c r="C148" t="s">
        <v>38</v>
      </c>
      <c r="D148">
        <v>90000</v>
      </c>
      <c r="E148">
        <v>2</v>
      </c>
      <c r="F148" t="s">
        <v>13</v>
      </c>
      <c r="G148" t="s">
        <v>21</v>
      </c>
      <c r="H148" t="s">
        <v>18</v>
      </c>
      <c r="I148">
        <v>0</v>
      </c>
      <c r="J148" t="s">
        <v>16</v>
      </c>
      <c r="K148" t="s">
        <v>24</v>
      </c>
      <c r="L148">
        <v>36</v>
      </c>
      <c r="M148" t="s">
        <v>47</v>
      </c>
      <c r="N148" t="s">
        <v>15</v>
      </c>
    </row>
    <row r="149" spans="1:14" x14ac:dyDescent="0.35">
      <c r="A149">
        <v>19475</v>
      </c>
      <c r="B149" t="s">
        <v>36</v>
      </c>
      <c r="C149" t="s">
        <v>38</v>
      </c>
      <c r="D149">
        <v>40000</v>
      </c>
      <c r="E149">
        <v>0</v>
      </c>
      <c r="F149" t="s">
        <v>13</v>
      </c>
      <c r="G149" t="s">
        <v>21</v>
      </c>
      <c r="H149" t="s">
        <v>18</v>
      </c>
      <c r="I149">
        <v>0</v>
      </c>
      <c r="J149" t="s">
        <v>16</v>
      </c>
      <c r="K149" t="s">
        <v>17</v>
      </c>
      <c r="L149">
        <v>40</v>
      </c>
      <c r="M149" t="s">
        <v>47</v>
      </c>
      <c r="N149" t="s">
        <v>15</v>
      </c>
    </row>
    <row r="150" spans="1:14" x14ac:dyDescent="0.35">
      <c r="A150">
        <v>15665</v>
      </c>
      <c r="B150" t="s">
        <v>36</v>
      </c>
      <c r="C150" t="s">
        <v>38</v>
      </c>
      <c r="D150">
        <v>30000</v>
      </c>
      <c r="E150">
        <v>0</v>
      </c>
      <c r="F150" t="s">
        <v>13</v>
      </c>
      <c r="G150" t="s">
        <v>20</v>
      </c>
      <c r="H150" t="s">
        <v>15</v>
      </c>
      <c r="I150">
        <v>0</v>
      </c>
      <c r="J150" t="s">
        <v>16</v>
      </c>
      <c r="K150" t="s">
        <v>17</v>
      </c>
      <c r="L150">
        <v>47</v>
      </c>
      <c r="M150" t="s">
        <v>47</v>
      </c>
      <c r="N150" t="s">
        <v>15</v>
      </c>
    </row>
    <row r="151" spans="1:14" x14ac:dyDescent="0.35">
      <c r="A151">
        <v>22634</v>
      </c>
      <c r="B151" t="s">
        <v>37</v>
      </c>
      <c r="C151" t="s">
        <v>38</v>
      </c>
      <c r="D151">
        <v>40000</v>
      </c>
      <c r="E151">
        <v>0</v>
      </c>
      <c r="F151" t="s">
        <v>31</v>
      </c>
      <c r="G151" t="s">
        <v>20</v>
      </c>
      <c r="H151" t="s">
        <v>15</v>
      </c>
      <c r="I151">
        <v>0</v>
      </c>
      <c r="J151" t="s">
        <v>16</v>
      </c>
      <c r="K151" t="s">
        <v>17</v>
      </c>
      <c r="L151">
        <v>38</v>
      </c>
      <c r="M151" t="s">
        <v>47</v>
      </c>
      <c r="N151" t="s">
        <v>15</v>
      </c>
    </row>
    <row r="152" spans="1:14" x14ac:dyDescent="0.35">
      <c r="A152">
        <v>16549</v>
      </c>
      <c r="B152" t="s">
        <v>37</v>
      </c>
      <c r="C152" t="s">
        <v>38</v>
      </c>
      <c r="D152">
        <v>30000</v>
      </c>
      <c r="E152">
        <v>3</v>
      </c>
      <c r="F152" t="s">
        <v>13</v>
      </c>
      <c r="G152" t="s">
        <v>20</v>
      </c>
      <c r="H152" t="s">
        <v>15</v>
      </c>
      <c r="I152">
        <v>0</v>
      </c>
      <c r="J152" t="s">
        <v>16</v>
      </c>
      <c r="K152" t="s">
        <v>17</v>
      </c>
      <c r="L152">
        <v>47</v>
      </c>
      <c r="M152" t="s">
        <v>47</v>
      </c>
      <c r="N152" t="s">
        <v>15</v>
      </c>
    </row>
    <row r="153" spans="1:14" x14ac:dyDescent="0.35">
      <c r="A153">
        <v>17754</v>
      </c>
      <c r="B153" t="s">
        <v>37</v>
      </c>
      <c r="C153" t="s">
        <v>38</v>
      </c>
      <c r="D153">
        <v>30000</v>
      </c>
      <c r="E153">
        <v>3</v>
      </c>
      <c r="F153" t="s">
        <v>13</v>
      </c>
      <c r="G153" t="s">
        <v>20</v>
      </c>
      <c r="H153" t="s">
        <v>15</v>
      </c>
      <c r="I153">
        <v>0</v>
      </c>
      <c r="J153" t="s">
        <v>16</v>
      </c>
      <c r="K153" t="s">
        <v>17</v>
      </c>
      <c r="L153">
        <v>46</v>
      </c>
      <c r="M153" t="s">
        <v>47</v>
      </c>
      <c r="N153" t="s">
        <v>15</v>
      </c>
    </row>
    <row r="154" spans="1:14" x14ac:dyDescent="0.35">
      <c r="A154">
        <v>14791</v>
      </c>
      <c r="B154" t="s">
        <v>36</v>
      </c>
      <c r="C154" t="s">
        <v>38</v>
      </c>
      <c r="D154">
        <v>40000</v>
      </c>
      <c r="E154">
        <v>0</v>
      </c>
      <c r="F154" t="s">
        <v>13</v>
      </c>
      <c r="G154" t="s">
        <v>20</v>
      </c>
      <c r="H154" t="s">
        <v>15</v>
      </c>
      <c r="I154">
        <v>0</v>
      </c>
      <c r="J154" t="s">
        <v>16</v>
      </c>
      <c r="K154" t="s">
        <v>17</v>
      </c>
      <c r="L154">
        <v>39</v>
      </c>
      <c r="M154" t="s">
        <v>47</v>
      </c>
      <c r="N154" t="s">
        <v>15</v>
      </c>
    </row>
    <row r="155" spans="1:14" x14ac:dyDescent="0.35">
      <c r="A155">
        <v>13089</v>
      </c>
      <c r="B155" t="s">
        <v>36</v>
      </c>
      <c r="C155" t="s">
        <v>38</v>
      </c>
      <c r="D155">
        <v>120000</v>
      </c>
      <c r="E155">
        <v>1</v>
      </c>
      <c r="F155" t="s">
        <v>13</v>
      </c>
      <c r="G155" t="s">
        <v>28</v>
      </c>
      <c r="H155" t="s">
        <v>15</v>
      </c>
      <c r="I155">
        <v>2</v>
      </c>
      <c r="J155" t="s">
        <v>16</v>
      </c>
      <c r="K155" t="s">
        <v>24</v>
      </c>
      <c r="L155">
        <v>46</v>
      </c>
      <c r="M155" t="s">
        <v>47</v>
      </c>
      <c r="N155" t="s">
        <v>15</v>
      </c>
    </row>
    <row r="156" spans="1:14" x14ac:dyDescent="0.35">
      <c r="A156">
        <v>13585</v>
      </c>
      <c r="B156" t="s">
        <v>36</v>
      </c>
      <c r="C156" t="s">
        <v>38</v>
      </c>
      <c r="D156">
        <v>80000</v>
      </c>
      <c r="E156">
        <v>4</v>
      </c>
      <c r="F156" t="s">
        <v>19</v>
      </c>
      <c r="G156" t="s">
        <v>21</v>
      </c>
      <c r="H156" t="s">
        <v>18</v>
      </c>
      <c r="I156">
        <v>1</v>
      </c>
      <c r="J156" t="s">
        <v>22</v>
      </c>
      <c r="K156" t="s">
        <v>17</v>
      </c>
      <c r="L156">
        <v>53</v>
      </c>
      <c r="M156" t="s">
        <v>47</v>
      </c>
      <c r="N156" t="s">
        <v>15</v>
      </c>
    </row>
    <row r="157" spans="1:14" x14ac:dyDescent="0.35">
      <c r="A157">
        <v>14798</v>
      </c>
      <c r="B157" t="s">
        <v>37</v>
      </c>
      <c r="C157" t="s">
        <v>38</v>
      </c>
      <c r="D157">
        <v>10000</v>
      </c>
      <c r="E157">
        <v>4</v>
      </c>
      <c r="F157" t="s">
        <v>29</v>
      </c>
      <c r="G157" t="s">
        <v>25</v>
      </c>
      <c r="H157" t="s">
        <v>15</v>
      </c>
      <c r="I157">
        <v>2</v>
      </c>
      <c r="J157" t="s">
        <v>16</v>
      </c>
      <c r="K157" t="s">
        <v>17</v>
      </c>
      <c r="L157">
        <v>41</v>
      </c>
      <c r="M157" t="s">
        <v>47</v>
      </c>
      <c r="N157" t="s">
        <v>15</v>
      </c>
    </row>
    <row r="158" spans="1:14" x14ac:dyDescent="0.35">
      <c r="A158">
        <v>16559</v>
      </c>
      <c r="B158" t="s">
        <v>37</v>
      </c>
      <c r="C158" t="s">
        <v>38</v>
      </c>
      <c r="D158">
        <v>10000</v>
      </c>
      <c r="E158">
        <v>2</v>
      </c>
      <c r="F158" t="s">
        <v>27</v>
      </c>
      <c r="G158" t="s">
        <v>25</v>
      </c>
      <c r="H158" t="s">
        <v>15</v>
      </c>
      <c r="I158">
        <v>0</v>
      </c>
      <c r="J158" t="s">
        <v>16</v>
      </c>
      <c r="K158" t="s">
        <v>17</v>
      </c>
      <c r="L158">
        <v>36</v>
      </c>
      <c r="M158" t="s">
        <v>47</v>
      </c>
      <c r="N158" t="s">
        <v>15</v>
      </c>
    </row>
    <row r="159" spans="1:14" x14ac:dyDescent="0.35">
      <c r="A159">
        <v>20711</v>
      </c>
      <c r="B159" t="s">
        <v>36</v>
      </c>
      <c r="C159" t="s">
        <v>38</v>
      </c>
      <c r="D159">
        <v>40000</v>
      </c>
      <c r="E159">
        <v>1</v>
      </c>
      <c r="F159" t="s">
        <v>13</v>
      </c>
      <c r="G159" t="s">
        <v>14</v>
      </c>
      <c r="H159" t="s">
        <v>15</v>
      </c>
      <c r="I159">
        <v>0</v>
      </c>
      <c r="J159" t="s">
        <v>26</v>
      </c>
      <c r="K159" t="s">
        <v>17</v>
      </c>
      <c r="L159">
        <v>32</v>
      </c>
      <c r="M159" t="s">
        <v>47</v>
      </c>
      <c r="N159" t="s">
        <v>15</v>
      </c>
    </row>
    <row r="160" spans="1:14" x14ac:dyDescent="0.35">
      <c r="A160">
        <v>25605</v>
      </c>
      <c r="B160" t="s">
        <v>37</v>
      </c>
      <c r="C160" t="s">
        <v>38</v>
      </c>
      <c r="D160">
        <v>20000</v>
      </c>
      <c r="E160">
        <v>2</v>
      </c>
      <c r="F160" t="s">
        <v>19</v>
      </c>
      <c r="G160" t="s">
        <v>25</v>
      </c>
      <c r="H160" t="s">
        <v>18</v>
      </c>
      <c r="I160">
        <v>1</v>
      </c>
      <c r="J160" t="s">
        <v>16</v>
      </c>
      <c r="K160" t="s">
        <v>17</v>
      </c>
      <c r="L160">
        <v>54</v>
      </c>
      <c r="M160" t="s">
        <v>48</v>
      </c>
      <c r="N160" t="s">
        <v>15</v>
      </c>
    </row>
    <row r="161" spans="1:14" x14ac:dyDescent="0.35">
      <c r="A161">
        <v>25307</v>
      </c>
      <c r="B161" t="s">
        <v>36</v>
      </c>
      <c r="C161" t="s">
        <v>38</v>
      </c>
      <c r="D161">
        <v>40000</v>
      </c>
      <c r="E161">
        <v>1</v>
      </c>
      <c r="F161" t="s">
        <v>13</v>
      </c>
      <c r="G161" t="s">
        <v>14</v>
      </c>
      <c r="H161" t="s">
        <v>15</v>
      </c>
      <c r="I161">
        <v>1</v>
      </c>
      <c r="J161" t="s">
        <v>26</v>
      </c>
      <c r="K161" t="s">
        <v>17</v>
      </c>
      <c r="L161">
        <v>32</v>
      </c>
      <c r="M161" t="s">
        <v>47</v>
      </c>
      <c r="N161" t="s">
        <v>15</v>
      </c>
    </row>
    <row r="162" spans="1:14" x14ac:dyDescent="0.35">
      <c r="A162">
        <v>21980</v>
      </c>
      <c r="B162" t="s">
        <v>37</v>
      </c>
      <c r="C162" t="s">
        <v>38</v>
      </c>
      <c r="D162">
        <v>60000</v>
      </c>
      <c r="E162">
        <v>1</v>
      </c>
      <c r="F162" t="s">
        <v>13</v>
      </c>
      <c r="G162" t="s">
        <v>21</v>
      </c>
      <c r="H162" t="s">
        <v>15</v>
      </c>
      <c r="I162">
        <v>1</v>
      </c>
      <c r="J162" t="s">
        <v>23</v>
      </c>
      <c r="K162" t="s">
        <v>24</v>
      </c>
      <c r="L162">
        <v>44</v>
      </c>
      <c r="M162" t="s">
        <v>47</v>
      </c>
      <c r="N162" t="s">
        <v>15</v>
      </c>
    </row>
    <row r="163" spans="1:14" x14ac:dyDescent="0.35">
      <c r="A163">
        <v>25460</v>
      </c>
      <c r="B163" t="s">
        <v>36</v>
      </c>
      <c r="C163" t="s">
        <v>38</v>
      </c>
      <c r="D163">
        <v>20000</v>
      </c>
      <c r="E163">
        <v>2</v>
      </c>
      <c r="F163" t="s">
        <v>27</v>
      </c>
      <c r="G163" t="s">
        <v>25</v>
      </c>
      <c r="H163" t="s">
        <v>15</v>
      </c>
      <c r="I163">
        <v>0</v>
      </c>
      <c r="J163" t="s">
        <v>16</v>
      </c>
      <c r="K163" t="s">
        <v>17</v>
      </c>
      <c r="L163">
        <v>40</v>
      </c>
      <c r="M163" t="s">
        <v>47</v>
      </c>
      <c r="N163" t="s">
        <v>15</v>
      </c>
    </row>
    <row r="164" spans="1:14" x14ac:dyDescent="0.35">
      <c r="A164">
        <v>29181</v>
      </c>
      <c r="B164" t="s">
        <v>37</v>
      </c>
      <c r="C164" t="s">
        <v>38</v>
      </c>
      <c r="D164">
        <v>60000</v>
      </c>
      <c r="E164">
        <v>2</v>
      </c>
      <c r="F164" t="s">
        <v>13</v>
      </c>
      <c r="G164" t="s">
        <v>21</v>
      </c>
      <c r="H164" t="s">
        <v>18</v>
      </c>
      <c r="I164">
        <v>1</v>
      </c>
      <c r="J164" t="s">
        <v>16</v>
      </c>
      <c r="K164" t="s">
        <v>24</v>
      </c>
      <c r="L164">
        <v>38</v>
      </c>
      <c r="M164" t="s">
        <v>47</v>
      </c>
      <c r="N164" t="s">
        <v>15</v>
      </c>
    </row>
    <row r="165" spans="1:14" x14ac:dyDescent="0.35">
      <c r="A165">
        <v>21108</v>
      </c>
      <c r="B165" t="s">
        <v>36</v>
      </c>
      <c r="C165" t="s">
        <v>38</v>
      </c>
      <c r="D165">
        <v>40000</v>
      </c>
      <c r="E165">
        <v>1</v>
      </c>
      <c r="F165" t="s">
        <v>13</v>
      </c>
      <c r="G165" t="s">
        <v>14</v>
      </c>
      <c r="H165" t="s">
        <v>15</v>
      </c>
      <c r="I165">
        <v>1</v>
      </c>
      <c r="J165" t="s">
        <v>16</v>
      </c>
      <c r="K165" t="s">
        <v>17</v>
      </c>
      <c r="L165">
        <v>43</v>
      </c>
      <c r="M165" t="s">
        <v>47</v>
      </c>
      <c r="N165" t="s">
        <v>15</v>
      </c>
    </row>
    <row r="166" spans="1:14" x14ac:dyDescent="0.35">
      <c r="A166">
        <v>24093</v>
      </c>
      <c r="B166" t="s">
        <v>37</v>
      </c>
      <c r="C166" t="s">
        <v>38</v>
      </c>
      <c r="D166">
        <v>80000</v>
      </c>
      <c r="E166">
        <v>0</v>
      </c>
      <c r="F166" t="s">
        <v>31</v>
      </c>
      <c r="G166" t="s">
        <v>14</v>
      </c>
      <c r="H166" t="s">
        <v>18</v>
      </c>
      <c r="I166">
        <v>0</v>
      </c>
      <c r="J166" t="s">
        <v>16</v>
      </c>
      <c r="K166" t="s">
        <v>17</v>
      </c>
      <c r="L166">
        <v>40</v>
      </c>
      <c r="M166" t="s">
        <v>47</v>
      </c>
      <c r="N166" t="s">
        <v>15</v>
      </c>
    </row>
    <row r="167" spans="1:14" x14ac:dyDescent="0.35">
      <c r="A167">
        <v>27824</v>
      </c>
      <c r="B167" t="s">
        <v>37</v>
      </c>
      <c r="C167" t="s">
        <v>38</v>
      </c>
      <c r="D167">
        <v>30000</v>
      </c>
      <c r="E167">
        <v>3</v>
      </c>
      <c r="F167" t="s">
        <v>19</v>
      </c>
      <c r="G167" t="s">
        <v>20</v>
      </c>
      <c r="H167" t="s">
        <v>15</v>
      </c>
      <c r="I167">
        <v>2</v>
      </c>
      <c r="J167" t="s">
        <v>16</v>
      </c>
      <c r="K167" t="s">
        <v>17</v>
      </c>
      <c r="L167">
        <v>28</v>
      </c>
      <c r="M167" t="s">
        <v>46</v>
      </c>
      <c r="N167" t="s">
        <v>15</v>
      </c>
    </row>
    <row r="168" spans="1:14" x14ac:dyDescent="0.35">
      <c r="A168">
        <v>19784</v>
      </c>
      <c r="B168" t="s">
        <v>36</v>
      </c>
      <c r="C168" t="s">
        <v>38</v>
      </c>
      <c r="D168">
        <v>80000</v>
      </c>
      <c r="E168">
        <v>2</v>
      </c>
      <c r="F168" t="s">
        <v>27</v>
      </c>
      <c r="G168" t="s">
        <v>14</v>
      </c>
      <c r="H168" t="s">
        <v>15</v>
      </c>
      <c r="I168">
        <v>2</v>
      </c>
      <c r="J168" t="s">
        <v>23</v>
      </c>
      <c r="K168" t="s">
        <v>24</v>
      </c>
      <c r="L168">
        <v>50</v>
      </c>
      <c r="M168" t="s">
        <v>47</v>
      </c>
      <c r="N168" t="s">
        <v>15</v>
      </c>
    </row>
    <row r="169" spans="1:14" x14ac:dyDescent="0.35">
      <c r="A169">
        <v>22175</v>
      </c>
      <c r="B169" t="s">
        <v>36</v>
      </c>
      <c r="C169" t="s">
        <v>38</v>
      </c>
      <c r="D169">
        <v>30000</v>
      </c>
      <c r="E169">
        <v>3</v>
      </c>
      <c r="F169" t="s">
        <v>27</v>
      </c>
      <c r="G169" t="s">
        <v>14</v>
      </c>
      <c r="H169" t="s">
        <v>15</v>
      </c>
      <c r="I169">
        <v>2</v>
      </c>
      <c r="J169" t="s">
        <v>23</v>
      </c>
      <c r="K169" t="s">
        <v>24</v>
      </c>
      <c r="L169">
        <v>53</v>
      </c>
      <c r="M169" t="s">
        <v>47</v>
      </c>
      <c r="N169" t="s">
        <v>15</v>
      </c>
    </row>
    <row r="170" spans="1:14" x14ac:dyDescent="0.35">
      <c r="A170">
        <v>21891</v>
      </c>
      <c r="B170" t="s">
        <v>36</v>
      </c>
      <c r="C170" t="s">
        <v>38</v>
      </c>
      <c r="D170">
        <v>110000</v>
      </c>
      <c r="E170">
        <v>0</v>
      </c>
      <c r="F170" t="s">
        <v>27</v>
      </c>
      <c r="G170" t="s">
        <v>28</v>
      </c>
      <c r="H170" t="s">
        <v>15</v>
      </c>
      <c r="I170">
        <v>3</v>
      </c>
      <c r="J170" t="s">
        <v>44</v>
      </c>
      <c r="K170" t="s">
        <v>24</v>
      </c>
      <c r="L170">
        <v>34</v>
      </c>
      <c r="M170" t="s">
        <v>47</v>
      </c>
      <c r="N170" t="s">
        <v>15</v>
      </c>
    </row>
    <row r="171" spans="1:14" x14ac:dyDescent="0.35">
      <c r="A171">
        <v>17048</v>
      </c>
      <c r="B171" t="s">
        <v>37</v>
      </c>
      <c r="C171" t="s">
        <v>38</v>
      </c>
      <c r="D171">
        <v>90000</v>
      </c>
      <c r="E171">
        <v>1</v>
      </c>
      <c r="F171" t="s">
        <v>31</v>
      </c>
      <c r="G171" t="s">
        <v>28</v>
      </c>
      <c r="H171" t="s">
        <v>15</v>
      </c>
      <c r="I171">
        <v>0</v>
      </c>
      <c r="J171" t="s">
        <v>16</v>
      </c>
      <c r="K171" t="s">
        <v>24</v>
      </c>
      <c r="L171">
        <v>36</v>
      </c>
      <c r="M171" t="s">
        <v>47</v>
      </c>
      <c r="N171" t="s">
        <v>15</v>
      </c>
    </row>
    <row r="172" spans="1:14" x14ac:dyDescent="0.35">
      <c r="A172">
        <v>17203</v>
      </c>
      <c r="B172" t="s">
        <v>36</v>
      </c>
      <c r="C172" t="s">
        <v>38</v>
      </c>
      <c r="D172">
        <v>130000</v>
      </c>
      <c r="E172">
        <v>4</v>
      </c>
      <c r="F172" t="s">
        <v>19</v>
      </c>
      <c r="G172" t="s">
        <v>21</v>
      </c>
      <c r="H172" t="s">
        <v>15</v>
      </c>
      <c r="I172">
        <v>4</v>
      </c>
      <c r="J172" t="s">
        <v>23</v>
      </c>
      <c r="K172" t="s">
        <v>17</v>
      </c>
      <c r="L172">
        <v>61</v>
      </c>
      <c r="M172" t="s">
        <v>48</v>
      </c>
      <c r="N172" t="s">
        <v>15</v>
      </c>
    </row>
    <row r="173" spans="1:14" x14ac:dyDescent="0.35">
      <c r="A173">
        <v>17960</v>
      </c>
      <c r="B173" t="s">
        <v>36</v>
      </c>
      <c r="C173" t="s">
        <v>38</v>
      </c>
      <c r="D173">
        <v>40000</v>
      </c>
      <c r="E173">
        <v>0</v>
      </c>
      <c r="F173" t="s">
        <v>31</v>
      </c>
      <c r="G173" t="s">
        <v>20</v>
      </c>
      <c r="H173" t="s">
        <v>15</v>
      </c>
      <c r="I173">
        <v>0</v>
      </c>
      <c r="J173" t="s">
        <v>16</v>
      </c>
      <c r="K173" t="s">
        <v>17</v>
      </c>
      <c r="L173">
        <v>35</v>
      </c>
      <c r="M173" t="s">
        <v>47</v>
      </c>
      <c r="N173" t="s">
        <v>15</v>
      </c>
    </row>
    <row r="174" spans="1:14" x14ac:dyDescent="0.35">
      <c r="A174">
        <v>20171</v>
      </c>
      <c r="B174" t="s">
        <v>36</v>
      </c>
      <c r="C174" t="s">
        <v>38</v>
      </c>
      <c r="D174">
        <v>20000</v>
      </c>
      <c r="E174">
        <v>2</v>
      </c>
      <c r="F174" t="s">
        <v>19</v>
      </c>
      <c r="G174" t="s">
        <v>25</v>
      </c>
      <c r="H174" t="s">
        <v>15</v>
      </c>
      <c r="I174">
        <v>1</v>
      </c>
      <c r="J174" t="s">
        <v>16</v>
      </c>
      <c r="K174" t="s">
        <v>17</v>
      </c>
      <c r="L174">
        <v>46</v>
      </c>
      <c r="M174" t="s">
        <v>47</v>
      </c>
      <c r="N174" t="s">
        <v>15</v>
      </c>
    </row>
    <row r="175" spans="1:14" x14ac:dyDescent="0.35">
      <c r="A175">
        <v>27582</v>
      </c>
      <c r="B175" t="s">
        <v>37</v>
      </c>
      <c r="C175" t="s">
        <v>38</v>
      </c>
      <c r="D175">
        <v>90000</v>
      </c>
      <c r="E175">
        <v>2</v>
      </c>
      <c r="F175" t="s">
        <v>13</v>
      </c>
      <c r="G175" t="s">
        <v>21</v>
      </c>
      <c r="H175" t="s">
        <v>18</v>
      </c>
      <c r="I175">
        <v>0</v>
      </c>
      <c r="J175" t="s">
        <v>16</v>
      </c>
      <c r="K175" t="s">
        <v>24</v>
      </c>
      <c r="L175">
        <v>36</v>
      </c>
      <c r="M175" t="s">
        <v>47</v>
      </c>
      <c r="N175" t="s">
        <v>15</v>
      </c>
    </row>
    <row r="176" spans="1:14" x14ac:dyDescent="0.35">
      <c r="A176">
        <v>22439</v>
      </c>
      <c r="B176" t="s">
        <v>36</v>
      </c>
      <c r="C176" t="s">
        <v>38</v>
      </c>
      <c r="D176">
        <v>30000</v>
      </c>
      <c r="E176">
        <v>0</v>
      </c>
      <c r="F176" t="s">
        <v>13</v>
      </c>
      <c r="G176" t="s">
        <v>20</v>
      </c>
      <c r="H176" t="s">
        <v>15</v>
      </c>
      <c r="I176">
        <v>0</v>
      </c>
      <c r="J176" t="s">
        <v>16</v>
      </c>
      <c r="K176" t="s">
        <v>17</v>
      </c>
      <c r="L176">
        <v>37</v>
      </c>
      <c r="M176" t="s">
        <v>47</v>
      </c>
      <c r="N176" t="s">
        <v>15</v>
      </c>
    </row>
    <row r="177" spans="1:14" x14ac:dyDescent="0.35">
      <c r="A177">
        <v>17504</v>
      </c>
      <c r="B177" t="s">
        <v>37</v>
      </c>
      <c r="C177" t="s">
        <v>38</v>
      </c>
      <c r="D177">
        <v>80000</v>
      </c>
      <c r="E177">
        <v>2</v>
      </c>
      <c r="F177" t="s">
        <v>19</v>
      </c>
      <c r="G177" t="s">
        <v>14</v>
      </c>
      <c r="H177" t="s">
        <v>15</v>
      </c>
      <c r="I177">
        <v>2</v>
      </c>
      <c r="J177" t="s">
        <v>23</v>
      </c>
      <c r="K177" t="s">
        <v>24</v>
      </c>
      <c r="L177">
        <v>52</v>
      </c>
      <c r="M177" t="s">
        <v>47</v>
      </c>
      <c r="N177" t="s">
        <v>15</v>
      </c>
    </row>
    <row r="178" spans="1:14" x14ac:dyDescent="0.35">
      <c r="A178">
        <v>12253</v>
      </c>
      <c r="B178" t="s">
        <v>37</v>
      </c>
      <c r="C178" t="s">
        <v>38</v>
      </c>
      <c r="D178">
        <v>20000</v>
      </c>
      <c r="E178">
        <v>0</v>
      </c>
      <c r="F178" t="s">
        <v>19</v>
      </c>
      <c r="G178" t="s">
        <v>25</v>
      </c>
      <c r="H178" t="s">
        <v>15</v>
      </c>
      <c r="I178">
        <v>0</v>
      </c>
      <c r="J178" t="s">
        <v>16</v>
      </c>
      <c r="K178" t="s">
        <v>24</v>
      </c>
      <c r="L178">
        <v>29</v>
      </c>
      <c r="M178" t="s">
        <v>46</v>
      </c>
      <c r="N178" t="s">
        <v>15</v>
      </c>
    </row>
    <row r="179" spans="1:14" x14ac:dyDescent="0.35">
      <c r="A179">
        <v>26167</v>
      </c>
      <c r="B179" t="s">
        <v>37</v>
      </c>
      <c r="C179" t="s">
        <v>38</v>
      </c>
      <c r="D179">
        <v>40000</v>
      </c>
      <c r="E179">
        <v>2</v>
      </c>
      <c r="F179" t="s">
        <v>13</v>
      </c>
      <c r="G179" t="s">
        <v>28</v>
      </c>
      <c r="H179" t="s">
        <v>18</v>
      </c>
      <c r="I179">
        <v>1</v>
      </c>
      <c r="J179" t="s">
        <v>23</v>
      </c>
      <c r="K179" t="s">
        <v>24</v>
      </c>
      <c r="L179">
        <v>53</v>
      </c>
      <c r="M179" t="s">
        <v>47</v>
      </c>
      <c r="N179" t="s">
        <v>15</v>
      </c>
    </row>
    <row r="180" spans="1:14" x14ac:dyDescent="0.35">
      <c r="A180">
        <v>17793</v>
      </c>
      <c r="B180" t="s">
        <v>36</v>
      </c>
      <c r="C180" t="s">
        <v>38</v>
      </c>
      <c r="D180">
        <v>40000</v>
      </c>
      <c r="E180">
        <v>0</v>
      </c>
      <c r="F180" t="s">
        <v>13</v>
      </c>
      <c r="G180" t="s">
        <v>20</v>
      </c>
      <c r="H180" t="s">
        <v>15</v>
      </c>
      <c r="I180">
        <v>0</v>
      </c>
      <c r="J180" t="s">
        <v>16</v>
      </c>
      <c r="K180" t="s">
        <v>17</v>
      </c>
      <c r="L180">
        <v>38</v>
      </c>
      <c r="M180" t="s">
        <v>47</v>
      </c>
      <c r="N180" t="s">
        <v>15</v>
      </c>
    </row>
    <row r="181" spans="1:14" x14ac:dyDescent="0.35">
      <c r="A181">
        <v>12212</v>
      </c>
      <c r="B181" t="s">
        <v>36</v>
      </c>
      <c r="C181" t="s">
        <v>38</v>
      </c>
      <c r="D181">
        <v>10000</v>
      </c>
      <c r="E181">
        <v>0</v>
      </c>
      <c r="F181" t="s">
        <v>31</v>
      </c>
      <c r="G181" t="s">
        <v>25</v>
      </c>
      <c r="H181" t="s">
        <v>15</v>
      </c>
      <c r="I181">
        <v>0</v>
      </c>
      <c r="J181" t="s">
        <v>16</v>
      </c>
      <c r="K181" t="s">
        <v>17</v>
      </c>
      <c r="L181">
        <v>37</v>
      </c>
      <c r="M181" t="s">
        <v>47</v>
      </c>
      <c r="N181" t="s">
        <v>15</v>
      </c>
    </row>
    <row r="182" spans="1:14" x14ac:dyDescent="0.35">
      <c r="A182">
        <v>26150</v>
      </c>
      <c r="B182" t="s">
        <v>37</v>
      </c>
      <c r="C182" t="s">
        <v>38</v>
      </c>
      <c r="D182">
        <v>70000</v>
      </c>
      <c r="E182">
        <v>0</v>
      </c>
      <c r="F182" t="s">
        <v>13</v>
      </c>
      <c r="G182" t="s">
        <v>21</v>
      </c>
      <c r="H182" t="s">
        <v>18</v>
      </c>
      <c r="I182">
        <v>1</v>
      </c>
      <c r="J182" t="s">
        <v>16</v>
      </c>
      <c r="K182" t="s">
        <v>24</v>
      </c>
      <c r="L182">
        <v>41</v>
      </c>
      <c r="M182" t="s">
        <v>47</v>
      </c>
      <c r="N182" t="s">
        <v>15</v>
      </c>
    </row>
    <row r="183" spans="1:14" x14ac:dyDescent="0.35">
      <c r="A183">
        <v>22170</v>
      </c>
      <c r="B183" t="s">
        <v>36</v>
      </c>
      <c r="C183" t="s">
        <v>38</v>
      </c>
      <c r="D183">
        <v>30000</v>
      </c>
      <c r="E183">
        <v>3</v>
      </c>
      <c r="F183" t="s">
        <v>19</v>
      </c>
      <c r="G183" t="s">
        <v>20</v>
      </c>
      <c r="H183" t="s">
        <v>18</v>
      </c>
      <c r="I183">
        <v>2</v>
      </c>
      <c r="J183" t="s">
        <v>26</v>
      </c>
      <c r="K183" t="s">
        <v>24</v>
      </c>
      <c r="L183">
        <v>55</v>
      </c>
      <c r="M183" t="s">
        <v>48</v>
      </c>
      <c r="N183" t="s">
        <v>15</v>
      </c>
    </row>
    <row r="184" spans="1:14" x14ac:dyDescent="0.35">
      <c r="A184">
        <v>13122</v>
      </c>
      <c r="B184" t="s">
        <v>36</v>
      </c>
      <c r="C184" t="s">
        <v>38</v>
      </c>
      <c r="D184">
        <v>80000</v>
      </c>
      <c r="E184">
        <v>0</v>
      </c>
      <c r="F184" t="s">
        <v>13</v>
      </c>
      <c r="G184" t="s">
        <v>21</v>
      </c>
      <c r="H184" t="s">
        <v>15</v>
      </c>
      <c r="I184">
        <v>1</v>
      </c>
      <c r="J184" t="s">
        <v>26</v>
      </c>
      <c r="K184" t="s">
        <v>24</v>
      </c>
      <c r="L184">
        <v>41</v>
      </c>
      <c r="M184" t="s">
        <v>47</v>
      </c>
      <c r="N184" t="s">
        <v>15</v>
      </c>
    </row>
    <row r="185" spans="1:14" x14ac:dyDescent="0.35">
      <c r="A185">
        <v>13690</v>
      </c>
      <c r="B185" t="s">
        <v>37</v>
      </c>
      <c r="C185" t="s">
        <v>38</v>
      </c>
      <c r="D185">
        <v>20000</v>
      </c>
      <c r="E185">
        <v>0</v>
      </c>
      <c r="F185" t="s">
        <v>29</v>
      </c>
      <c r="G185" t="s">
        <v>25</v>
      </c>
      <c r="H185" t="s">
        <v>18</v>
      </c>
      <c r="I185">
        <v>2</v>
      </c>
      <c r="J185" t="s">
        <v>26</v>
      </c>
      <c r="K185" t="s">
        <v>17</v>
      </c>
      <c r="L185">
        <v>34</v>
      </c>
      <c r="M185" t="s">
        <v>47</v>
      </c>
      <c r="N185" t="s">
        <v>15</v>
      </c>
    </row>
    <row r="186" spans="1:14" x14ac:dyDescent="0.35">
      <c r="A186">
        <v>28957</v>
      </c>
      <c r="B186" t="s">
        <v>37</v>
      </c>
      <c r="C186" t="s">
        <v>38</v>
      </c>
      <c r="D186">
        <v>120000</v>
      </c>
      <c r="E186">
        <v>0</v>
      </c>
      <c r="F186" t="s">
        <v>29</v>
      </c>
      <c r="G186" t="s">
        <v>21</v>
      </c>
      <c r="H186" t="s">
        <v>15</v>
      </c>
      <c r="I186">
        <v>4</v>
      </c>
      <c r="J186" t="s">
        <v>44</v>
      </c>
      <c r="K186" t="s">
        <v>24</v>
      </c>
      <c r="L186">
        <v>34</v>
      </c>
      <c r="M186" t="s">
        <v>47</v>
      </c>
      <c r="N186" t="s">
        <v>15</v>
      </c>
    </row>
    <row r="187" spans="1:14" x14ac:dyDescent="0.35">
      <c r="A187">
        <v>15799</v>
      </c>
      <c r="B187" t="s">
        <v>36</v>
      </c>
      <c r="C187" t="s">
        <v>38</v>
      </c>
      <c r="D187">
        <v>90000</v>
      </c>
      <c r="E187">
        <v>1</v>
      </c>
      <c r="F187" t="s">
        <v>13</v>
      </c>
      <c r="G187" t="s">
        <v>21</v>
      </c>
      <c r="H187" t="s">
        <v>15</v>
      </c>
      <c r="I187">
        <v>1</v>
      </c>
      <c r="J187" t="s">
        <v>22</v>
      </c>
      <c r="K187" t="s">
        <v>24</v>
      </c>
      <c r="L187">
        <v>47</v>
      </c>
      <c r="M187" t="s">
        <v>47</v>
      </c>
      <c r="N187" t="s">
        <v>15</v>
      </c>
    </row>
    <row r="188" spans="1:14" x14ac:dyDescent="0.35">
      <c r="A188">
        <v>11047</v>
      </c>
      <c r="B188" t="s">
        <v>36</v>
      </c>
      <c r="C188" t="s">
        <v>38</v>
      </c>
      <c r="D188">
        <v>30000</v>
      </c>
      <c r="E188">
        <v>3</v>
      </c>
      <c r="F188" t="s">
        <v>27</v>
      </c>
      <c r="G188" t="s">
        <v>14</v>
      </c>
      <c r="H188" t="s">
        <v>18</v>
      </c>
      <c r="I188">
        <v>2</v>
      </c>
      <c r="J188" t="s">
        <v>26</v>
      </c>
      <c r="K188" t="s">
        <v>24</v>
      </c>
      <c r="L188">
        <v>56</v>
      </c>
      <c r="M188" t="s">
        <v>48</v>
      </c>
      <c r="N188" t="s">
        <v>15</v>
      </c>
    </row>
    <row r="189" spans="1:14" x14ac:dyDescent="0.35">
      <c r="A189">
        <v>12581</v>
      </c>
      <c r="B189" t="s">
        <v>37</v>
      </c>
      <c r="C189" t="s">
        <v>38</v>
      </c>
      <c r="D189">
        <v>10000</v>
      </c>
      <c r="E189">
        <v>0</v>
      </c>
      <c r="F189" t="s">
        <v>19</v>
      </c>
      <c r="G189" t="s">
        <v>25</v>
      </c>
      <c r="H189" t="s">
        <v>18</v>
      </c>
      <c r="I189">
        <v>1</v>
      </c>
      <c r="J189" t="s">
        <v>16</v>
      </c>
      <c r="K189" t="s">
        <v>24</v>
      </c>
      <c r="L189">
        <v>28</v>
      </c>
      <c r="M189" t="s">
        <v>46</v>
      </c>
      <c r="N189" t="s">
        <v>15</v>
      </c>
    </row>
    <row r="190" spans="1:14" x14ac:dyDescent="0.35">
      <c r="A190">
        <v>20606</v>
      </c>
      <c r="B190" t="s">
        <v>36</v>
      </c>
      <c r="C190" t="s">
        <v>38</v>
      </c>
      <c r="D190">
        <v>70000</v>
      </c>
      <c r="E190">
        <v>0</v>
      </c>
      <c r="F190" t="s">
        <v>13</v>
      </c>
      <c r="G190" t="s">
        <v>21</v>
      </c>
      <c r="H190" t="s">
        <v>15</v>
      </c>
      <c r="I190">
        <v>4</v>
      </c>
      <c r="J190" t="s">
        <v>44</v>
      </c>
      <c r="K190" t="s">
        <v>24</v>
      </c>
      <c r="L190">
        <v>32</v>
      </c>
      <c r="M190" t="s">
        <v>47</v>
      </c>
      <c r="N190" t="s">
        <v>15</v>
      </c>
    </row>
    <row r="191" spans="1:14" x14ac:dyDescent="0.35">
      <c r="A191">
        <v>25752</v>
      </c>
      <c r="B191" t="s">
        <v>37</v>
      </c>
      <c r="C191" t="s">
        <v>38</v>
      </c>
      <c r="D191">
        <v>20000</v>
      </c>
      <c r="E191">
        <v>2</v>
      </c>
      <c r="F191" t="s">
        <v>19</v>
      </c>
      <c r="G191" t="s">
        <v>25</v>
      </c>
      <c r="H191" t="s">
        <v>18</v>
      </c>
      <c r="I191">
        <v>1</v>
      </c>
      <c r="J191" t="s">
        <v>16</v>
      </c>
      <c r="K191" t="s">
        <v>17</v>
      </c>
      <c r="L191">
        <v>53</v>
      </c>
      <c r="M191" t="s">
        <v>47</v>
      </c>
      <c r="N191" t="s">
        <v>15</v>
      </c>
    </row>
    <row r="192" spans="1:14" x14ac:dyDescent="0.35">
      <c r="A192">
        <v>25918</v>
      </c>
      <c r="B192" t="s">
        <v>37</v>
      </c>
      <c r="C192" t="s">
        <v>38</v>
      </c>
      <c r="D192">
        <v>30000</v>
      </c>
      <c r="E192">
        <v>2</v>
      </c>
      <c r="F192" t="s">
        <v>19</v>
      </c>
      <c r="G192" t="s">
        <v>20</v>
      </c>
      <c r="H192" t="s">
        <v>18</v>
      </c>
      <c r="I192">
        <v>2</v>
      </c>
      <c r="J192" t="s">
        <v>23</v>
      </c>
      <c r="K192" t="s">
        <v>24</v>
      </c>
      <c r="L192">
        <v>60</v>
      </c>
      <c r="M192" t="s">
        <v>48</v>
      </c>
      <c r="N192" t="s">
        <v>15</v>
      </c>
    </row>
    <row r="193" spans="1:14" x14ac:dyDescent="0.35">
      <c r="A193">
        <v>12133</v>
      </c>
      <c r="B193" t="s">
        <v>36</v>
      </c>
      <c r="C193" t="s">
        <v>38</v>
      </c>
      <c r="D193">
        <v>130000</v>
      </c>
      <c r="E193">
        <v>3</v>
      </c>
      <c r="F193" t="s">
        <v>19</v>
      </c>
      <c r="G193" t="s">
        <v>21</v>
      </c>
      <c r="H193" t="s">
        <v>15</v>
      </c>
      <c r="I193">
        <v>3</v>
      </c>
      <c r="J193" t="s">
        <v>23</v>
      </c>
      <c r="K193" t="s">
        <v>17</v>
      </c>
      <c r="L193">
        <v>50</v>
      </c>
      <c r="M193" t="s">
        <v>47</v>
      </c>
      <c r="N193" t="s">
        <v>15</v>
      </c>
    </row>
    <row r="194" spans="1:14" x14ac:dyDescent="0.35">
      <c r="A194">
        <v>22636</v>
      </c>
      <c r="B194" t="s">
        <v>37</v>
      </c>
      <c r="C194" t="s">
        <v>38</v>
      </c>
      <c r="D194">
        <v>40000</v>
      </c>
      <c r="E194">
        <v>0</v>
      </c>
      <c r="F194" t="s">
        <v>13</v>
      </c>
      <c r="G194" t="s">
        <v>20</v>
      </c>
      <c r="H194" t="s">
        <v>18</v>
      </c>
      <c r="I194">
        <v>0</v>
      </c>
      <c r="J194" t="s">
        <v>16</v>
      </c>
      <c r="K194" t="s">
        <v>17</v>
      </c>
      <c r="L194">
        <v>38</v>
      </c>
      <c r="M194" t="s">
        <v>47</v>
      </c>
      <c r="N194" t="s">
        <v>15</v>
      </c>
    </row>
    <row r="195" spans="1:14" x14ac:dyDescent="0.35">
      <c r="A195">
        <v>19305</v>
      </c>
      <c r="B195" t="s">
        <v>37</v>
      </c>
      <c r="C195" t="s">
        <v>38</v>
      </c>
      <c r="D195">
        <v>10000</v>
      </c>
      <c r="E195">
        <v>2</v>
      </c>
      <c r="F195" t="s">
        <v>27</v>
      </c>
      <c r="G195" t="s">
        <v>25</v>
      </c>
      <c r="H195" t="s">
        <v>15</v>
      </c>
      <c r="I195">
        <v>1</v>
      </c>
      <c r="J195" t="s">
        <v>16</v>
      </c>
      <c r="K195" t="s">
        <v>17</v>
      </c>
      <c r="L195">
        <v>38</v>
      </c>
      <c r="M195" t="s">
        <v>47</v>
      </c>
      <c r="N195" t="s">
        <v>15</v>
      </c>
    </row>
    <row r="196" spans="1:14" x14ac:dyDescent="0.35">
      <c r="A196">
        <v>23571</v>
      </c>
      <c r="B196" t="s">
        <v>36</v>
      </c>
      <c r="C196" t="s">
        <v>38</v>
      </c>
      <c r="D196">
        <v>40000</v>
      </c>
      <c r="E196">
        <v>2</v>
      </c>
      <c r="F196" t="s">
        <v>13</v>
      </c>
      <c r="G196" t="s">
        <v>28</v>
      </c>
      <c r="H196" t="s">
        <v>15</v>
      </c>
      <c r="I196">
        <v>2</v>
      </c>
      <c r="J196" t="s">
        <v>16</v>
      </c>
      <c r="K196" t="s">
        <v>24</v>
      </c>
      <c r="L196">
        <v>66</v>
      </c>
      <c r="M196" t="s">
        <v>48</v>
      </c>
      <c r="N196" t="s">
        <v>15</v>
      </c>
    </row>
    <row r="197" spans="1:14" x14ac:dyDescent="0.35">
      <c r="A197">
        <v>22518</v>
      </c>
      <c r="B197" t="s">
        <v>37</v>
      </c>
      <c r="C197" t="s">
        <v>38</v>
      </c>
      <c r="D197">
        <v>30000</v>
      </c>
      <c r="E197">
        <v>3</v>
      </c>
      <c r="F197" t="s">
        <v>19</v>
      </c>
      <c r="G197" t="s">
        <v>20</v>
      </c>
      <c r="H197" t="s">
        <v>18</v>
      </c>
      <c r="I197">
        <v>2</v>
      </c>
      <c r="J197" t="s">
        <v>16</v>
      </c>
      <c r="K197" t="s">
        <v>17</v>
      </c>
      <c r="L197">
        <v>27</v>
      </c>
      <c r="M197" t="s">
        <v>46</v>
      </c>
      <c r="N197" t="s">
        <v>15</v>
      </c>
    </row>
    <row r="198" spans="1:14" x14ac:dyDescent="0.35">
      <c r="A198">
        <v>23608</v>
      </c>
      <c r="B198" t="s">
        <v>36</v>
      </c>
      <c r="C198" t="s">
        <v>38</v>
      </c>
      <c r="D198">
        <v>150000</v>
      </c>
      <c r="E198">
        <v>3</v>
      </c>
      <c r="F198" t="s">
        <v>27</v>
      </c>
      <c r="G198" t="s">
        <v>21</v>
      </c>
      <c r="H198" t="s">
        <v>15</v>
      </c>
      <c r="I198">
        <v>3</v>
      </c>
      <c r="J198" t="s">
        <v>16</v>
      </c>
      <c r="K198" t="s">
        <v>17</v>
      </c>
      <c r="L198">
        <v>51</v>
      </c>
      <c r="M198" t="s">
        <v>47</v>
      </c>
      <c r="N198" t="s">
        <v>15</v>
      </c>
    </row>
    <row r="199" spans="1:14" x14ac:dyDescent="0.35">
      <c r="A199">
        <v>24121</v>
      </c>
      <c r="B199" t="s">
        <v>37</v>
      </c>
      <c r="C199" t="s">
        <v>38</v>
      </c>
      <c r="D199">
        <v>30000</v>
      </c>
      <c r="E199">
        <v>0</v>
      </c>
      <c r="F199" t="s">
        <v>19</v>
      </c>
      <c r="G199" t="s">
        <v>20</v>
      </c>
      <c r="H199" t="s">
        <v>18</v>
      </c>
      <c r="I199">
        <v>1</v>
      </c>
      <c r="J199" t="s">
        <v>16</v>
      </c>
      <c r="K199" t="s">
        <v>17</v>
      </c>
      <c r="L199">
        <v>29</v>
      </c>
      <c r="M199" t="s">
        <v>46</v>
      </c>
      <c r="N199" t="s">
        <v>15</v>
      </c>
    </row>
    <row r="200" spans="1:14" x14ac:dyDescent="0.35">
      <c r="A200">
        <v>15214</v>
      </c>
      <c r="B200" t="s">
        <v>37</v>
      </c>
      <c r="C200" t="s">
        <v>38</v>
      </c>
      <c r="D200">
        <v>100000</v>
      </c>
      <c r="E200">
        <v>0</v>
      </c>
      <c r="F200" t="s">
        <v>31</v>
      </c>
      <c r="G200" t="s">
        <v>28</v>
      </c>
      <c r="H200" t="s">
        <v>18</v>
      </c>
      <c r="I200">
        <v>1</v>
      </c>
      <c r="J200" t="s">
        <v>26</v>
      </c>
      <c r="K200" t="s">
        <v>24</v>
      </c>
      <c r="L200">
        <v>39</v>
      </c>
      <c r="M200" t="s">
        <v>47</v>
      </c>
      <c r="N200" t="s">
        <v>15</v>
      </c>
    </row>
    <row r="201" spans="1:14" x14ac:dyDescent="0.35">
      <c r="A201">
        <v>22936</v>
      </c>
      <c r="B201" t="s">
        <v>37</v>
      </c>
      <c r="C201" t="s">
        <v>38</v>
      </c>
      <c r="D201">
        <v>60000</v>
      </c>
      <c r="E201">
        <v>1</v>
      </c>
      <c r="F201" t="s">
        <v>19</v>
      </c>
      <c r="G201" t="s">
        <v>14</v>
      </c>
      <c r="H201" t="s">
        <v>18</v>
      </c>
      <c r="I201">
        <v>1</v>
      </c>
      <c r="J201" t="s">
        <v>16</v>
      </c>
      <c r="K201" t="s">
        <v>24</v>
      </c>
      <c r="L201">
        <v>45</v>
      </c>
      <c r="M201" t="s">
        <v>47</v>
      </c>
      <c r="N201" t="s">
        <v>15</v>
      </c>
    </row>
    <row r="202" spans="1:14" x14ac:dyDescent="0.35">
      <c r="A202">
        <v>17894</v>
      </c>
      <c r="B202" t="s">
        <v>36</v>
      </c>
      <c r="C202" t="s">
        <v>38</v>
      </c>
      <c r="D202">
        <v>20000</v>
      </c>
      <c r="E202">
        <v>1</v>
      </c>
      <c r="F202" t="s">
        <v>13</v>
      </c>
      <c r="G202" t="s">
        <v>20</v>
      </c>
      <c r="H202" t="s">
        <v>15</v>
      </c>
      <c r="I202">
        <v>0</v>
      </c>
      <c r="J202" t="s">
        <v>16</v>
      </c>
      <c r="K202" t="s">
        <v>17</v>
      </c>
      <c r="L202">
        <v>50</v>
      </c>
      <c r="M202" t="s">
        <v>47</v>
      </c>
      <c r="N202" t="s">
        <v>15</v>
      </c>
    </row>
    <row r="203" spans="1:14" x14ac:dyDescent="0.35">
      <c r="A203">
        <v>19174</v>
      </c>
      <c r="B203" t="s">
        <v>37</v>
      </c>
      <c r="C203" t="s">
        <v>38</v>
      </c>
      <c r="D203">
        <v>30000</v>
      </c>
      <c r="E203">
        <v>0</v>
      </c>
      <c r="F203" t="s">
        <v>27</v>
      </c>
      <c r="G203" t="s">
        <v>25</v>
      </c>
      <c r="H203" t="s">
        <v>18</v>
      </c>
      <c r="I203">
        <v>1</v>
      </c>
      <c r="J203" t="s">
        <v>22</v>
      </c>
      <c r="K203" t="s">
        <v>17</v>
      </c>
      <c r="L203">
        <v>32</v>
      </c>
      <c r="M203" t="s">
        <v>47</v>
      </c>
      <c r="N203" t="s">
        <v>15</v>
      </c>
    </row>
    <row r="204" spans="1:14" x14ac:dyDescent="0.35">
      <c r="A204">
        <v>15926</v>
      </c>
      <c r="B204" t="s">
        <v>37</v>
      </c>
      <c r="C204" t="s">
        <v>38</v>
      </c>
      <c r="D204">
        <v>120000</v>
      </c>
      <c r="E204">
        <v>3</v>
      </c>
      <c r="F204" t="s">
        <v>27</v>
      </c>
      <c r="G204" t="s">
        <v>21</v>
      </c>
      <c r="H204" t="s">
        <v>15</v>
      </c>
      <c r="I204">
        <v>4</v>
      </c>
      <c r="J204" t="s">
        <v>23</v>
      </c>
      <c r="K204" t="s">
        <v>17</v>
      </c>
      <c r="L204">
        <v>50</v>
      </c>
      <c r="M204" t="s">
        <v>47</v>
      </c>
      <c r="N204" t="s">
        <v>15</v>
      </c>
    </row>
    <row r="205" spans="1:14" x14ac:dyDescent="0.35">
      <c r="A205">
        <v>29298</v>
      </c>
      <c r="B205" t="s">
        <v>37</v>
      </c>
      <c r="C205" t="s">
        <v>38</v>
      </c>
      <c r="D205">
        <v>60000</v>
      </c>
      <c r="E205">
        <v>1</v>
      </c>
      <c r="F205" t="s">
        <v>19</v>
      </c>
      <c r="G205" t="s">
        <v>14</v>
      </c>
      <c r="H205" t="s">
        <v>15</v>
      </c>
      <c r="I205">
        <v>1</v>
      </c>
      <c r="J205" t="s">
        <v>23</v>
      </c>
      <c r="K205" t="s">
        <v>24</v>
      </c>
      <c r="L205">
        <v>46</v>
      </c>
      <c r="M205" t="s">
        <v>47</v>
      </c>
      <c r="N205" t="s">
        <v>15</v>
      </c>
    </row>
    <row r="206" spans="1:14" x14ac:dyDescent="0.35">
      <c r="A206">
        <v>11489</v>
      </c>
      <c r="B206" t="s">
        <v>37</v>
      </c>
      <c r="C206" t="s">
        <v>38</v>
      </c>
      <c r="D206">
        <v>20000</v>
      </c>
      <c r="E206">
        <v>0</v>
      </c>
      <c r="F206" t="s">
        <v>29</v>
      </c>
      <c r="G206" t="s">
        <v>25</v>
      </c>
      <c r="H206" t="s">
        <v>18</v>
      </c>
      <c r="I206">
        <v>2</v>
      </c>
      <c r="J206" t="s">
        <v>26</v>
      </c>
      <c r="K206" t="s">
        <v>17</v>
      </c>
      <c r="L206">
        <v>35</v>
      </c>
      <c r="M206" t="s">
        <v>47</v>
      </c>
      <c r="N206" t="s">
        <v>15</v>
      </c>
    </row>
    <row r="207" spans="1:14" x14ac:dyDescent="0.35">
      <c r="A207">
        <v>20994</v>
      </c>
      <c r="B207" t="s">
        <v>36</v>
      </c>
      <c r="C207" t="s">
        <v>38</v>
      </c>
      <c r="D207">
        <v>20000</v>
      </c>
      <c r="E207">
        <v>0</v>
      </c>
      <c r="F207" t="s">
        <v>13</v>
      </c>
      <c r="G207" t="s">
        <v>20</v>
      </c>
      <c r="H207" t="s">
        <v>18</v>
      </c>
      <c r="I207">
        <v>0</v>
      </c>
      <c r="J207" t="s">
        <v>16</v>
      </c>
      <c r="K207" t="s">
        <v>24</v>
      </c>
      <c r="L207">
        <v>26</v>
      </c>
      <c r="M207" t="s">
        <v>46</v>
      </c>
      <c r="N207" t="s">
        <v>15</v>
      </c>
    </row>
    <row r="208" spans="1:14" x14ac:dyDescent="0.35">
      <c r="A208">
        <v>27760</v>
      </c>
      <c r="B208" t="s">
        <v>37</v>
      </c>
      <c r="C208" t="s">
        <v>38</v>
      </c>
      <c r="D208">
        <v>40000</v>
      </c>
      <c r="E208">
        <v>0</v>
      </c>
      <c r="F208" t="s">
        <v>31</v>
      </c>
      <c r="G208" t="s">
        <v>20</v>
      </c>
      <c r="H208" t="s">
        <v>18</v>
      </c>
      <c r="I208">
        <v>0</v>
      </c>
      <c r="J208" t="s">
        <v>16</v>
      </c>
      <c r="K208" t="s">
        <v>17</v>
      </c>
      <c r="L208">
        <v>37</v>
      </c>
      <c r="M208" t="s">
        <v>47</v>
      </c>
      <c r="N208" t="s">
        <v>15</v>
      </c>
    </row>
    <row r="209" spans="1:14" x14ac:dyDescent="0.35">
      <c r="A209">
        <v>28729</v>
      </c>
      <c r="B209" t="s">
        <v>37</v>
      </c>
      <c r="C209" t="s">
        <v>38</v>
      </c>
      <c r="D209">
        <v>20000</v>
      </c>
      <c r="E209">
        <v>0</v>
      </c>
      <c r="F209" t="s">
        <v>29</v>
      </c>
      <c r="G209" t="s">
        <v>25</v>
      </c>
      <c r="H209" t="s">
        <v>15</v>
      </c>
      <c r="I209">
        <v>2</v>
      </c>
      <c r="J209" t="s">
        <v>26</v>
      </c>
      <c r="K209" t="s">
        <v>17</v>
      </c>
      <c r="L209">
        <v>26</v>
      </c>
      <c r="M209" t="s">
        <v>46</v>
      </c>
      <c r="N209" t="s">
        <v>15</v>
      </c>
    </row>
    <row r="210" spans="1:14" x14ac:dyDescent="0.35">
      <c r="A210">
        <v>22633</v>
      </c>
      <c r="B210" t="s">
        <v>37</v>
      </c>
      <c r="C210" t="s">
        <v>38</v>
      </c>
      <c r="D210">
        <v>40000</v>
      </c>
      <c r="E210">
        <v>0</v>
      </c>
      <c r="F210" t="s">
        <v>31</v>
      </c>
      <c r="G210" t="s">
        <v>20</v>
      </c>
      <c r="H210" t="s">
        <v>15</v>
      </c>
      <c r="I210">
        <v>0</v>
      </c>
      <c r="J210" t="s">
        <v>16</v>
      </c>
      <c r="K210" t="s">
        <v>17</v>
      </c>
      <c r="L210">
        <v>37</v>
      </c>
      <c r="M210" t="s">
        <v>47</v>
      </c>
      <c r="N210" t="s">
        <v>15</v>
      </c>
    </row>
    <row r="211" spans="1:14" x14ac:dyDescent="0.35">
      <c r="A211">
        <v>25649</v>
      </c>
      <c r="B211" t="s">
        <v>37</v>
      </c>
      <c r="C211" t="s">
        <v>38</v>
      </c>
      <c r="D211">
        <v>30000</v>
      </c>
      <c r="E211">
        <v>3</v>
      </c>
      <c r="F211" t="s">
        <v>19</v>
      </c>
      <c r="G211" t="s">
        <v>20</v>
      </c>
      <c r="H211" t="s">
        <v>15</v>
      </c>
      <c r="I211">
        <v>0</v>
      </c>
      <c r="J211" t="s">
        <v>16</v>
      </c>
      <c r="K211" t="s">
        <v>17</v>
      </c>
      <c r="L211">
        <v>42</v>
      </c>
      <c r="M211" t="s">
        <v>47</v>
      </c>
      <c r="N211" t="s">
        <v>15</v>
      </c>
    </row>
    <row r="212" spans="1:14" x14ac:dyDescent="0.35">
      <c r="A212">
        <v>16410</v>
      </c>
      <c r="B212" t="s">
        <v>37</v>
      </c>
      <c r="C212" t="s">
        <v>38</v>
      </c>
      <c r="D212">
        <v>10000</v>
      </c>
      <c r="E212">
        <v>4</v>
      </c>
      <c r="F212" t="s">
        <v>29</v>
      </c>
      <c r="G212" t="s">
        <v>25</v>
      </c>
      <c r="H212" t="s">
        <v>15</v>
      </c>
      <c r="I212">
        <v>2</v>
      </c>
      <c r="J212" t="s">
        <v>16</v>
      </c>
      <c r="K212" t="s">
        <v>17</v>
      </c>
      <c r="L212">
        <v>41</v>
      </c>
      <c r="M212" t="s">
        <v>47</v>
      </c>
      <c r="N212" t="s">
        <v>15</v>
      </c>
    </row>
    <row r="213" spans="1:14" x14ac:dyDescent="0.35">
      <c r="A213">
        <v>19299</v>
      </c>
      <c r="B213" t="s">
        <v>36</v>
      </c>
      <c r="C213" t="s">
        <v>38</v>
      </c>
      <c r="D213">
        <v>50000</v>
      </c>
      <c r="E213">
        <v>0</v>
      </c>
      <c r="F213" t="s">
        <v>31</v>
      </c>
      <c r="G213" t="s">
        <v>14</v>
      </c>
      <c r="H213" t="s">
        <v>15</v>
      </c>
      <c r="I213">
        <v>0</v>
      </c>
      <c r="J213" t="s">
        <v>16</v>
      </c>
      <c r="K213" t="s">
        <v>17</v>
      </c>
      <c r="L213">
        <v>36</v>
      </c>
      <c r="M213" t="s">
        <v>47</v>
      </c>
      <c r="N213" t="s">
        <v>15</v>
      </c>
    </row>
    <row r="214" spans="1:14" x14ac:dyDescent="0.35">
      <c r="A214">
        <v>16675</v>
      </c>
      <c r="B214" t="s">
        <v>37</v>
      </c>
      <c r="C214" t="s">
        <v>38</v>
      </c>
      <c r="D214">
        <v>160000</v>
      </c>
      <c r="E214">
        <v>0</v>
      </c>
      <c r="F214" t="s">
        <v>31</v>
      </c>
      <c r="G214" t="s">
        <v>28</v>
      </c>
      <c r="H214" t="s">
        <v>18</v>
      </c>
      <c r="I214">
        <v>3</v>
      </c>
      <c r="J214" t="s">
        <v>16</v>
      </c>
      <c r="K214" t="s">
        <v>24</v>
      </c>
      <c r="L214">
        <v>47</v>
      </c>
      <c r="M214" t="s">
        <v>47</v>
      </c>
      <c r="N214" t="s">
        <v>15</v>
      </c>
    </row>
    <row r="215" spans="1:14" x14ac:dyDescent="0.35">
      <c r="A215">
        <v>11381</v>
      </c>
      <c r="B215" t="s">
        <v>36</v>
      </c>
      <c r="C215" t="s">
        <v>38</v>
      </c>
      <c r="D215">
        <v>20000</v>
      </c>
      <c r="E215">
        <v>2</v>
      </c>
      <c r="F215" t="s">
        <v>19</v>
      </c>
      <c r="G215" t="s">
        <v>25</v>
      </c>
      <c r="H215" t="s">
        <v>15</v>
      </c>
      <c r="I215">
        <v>1</v>
      </c>
      <c r="J215" t="s">
        <v>22</v>
      </c>
      <c r="K215" t="s">
        <v>17</v>
      </c>
      <c r="L215">
        <v>47</v>
      </c>
      <c r="M215" t="s">
        <v>47</v>
      </c>
      <c r="N215" t="s">
        <v>15</v>
      </c>
    </row>
    <row r="216" spans="1:14" x14ac:dyDescent="0.35">
      <c r="A216">
        <v>17926</v>
      </c>
      <c r="B216" t="s">
        <v>37</v>
      </c>
      <c r="C216" t="s">
        <v>38</v>
      </c>
      <c r="D216">
        <v>40000</v>
      </c>
      <c r="E216">
        <v>0</v>
      </c>
      <c r="F216" t="s">
        <v>13</v>
      </c>
      <c r="G216" t="s">
        <v>20</v>
      </c>
      <c r="H216" t="s">
        <v>18</v>
      </c>
      <c r="I216">
        <v>0</v>
      </c>
      <c r="J216" t="s">
        <v>16</v>
      </c>
      <c r="K216" t="s">
        <v>24</v>
      </c>
      <c r="L216">
        <v>28</v>
      </c>
      <c r="M216" t="s">
        <v>46</v>
      </c>
      <c r="N216" t="s">
        <v>15</v>
      </c>
    </row>
    <row r="217" spans="1:14" x14ac:dyDescent="0.35">
      <c r="A217">
        <v>14189</v>
      </c>
      <c r="B217" t="s">
        <v>36</v>
      </c>
      <c r="C217" t="s">
        <v>38</v>
      </c>
      <c r="D217">
        <v>90000</v>
      </c>
      <c r="E217">
        <v>4</v>
      </c>
      <c r="F217" t="s">
        <v>27</v>
      </c>
      <c r="G217" t="s">
        <v>21</v>
      </c>
      <c r="H217" t="s">
        <v>18</v>
      </c>
      <c r="I217">
        <v>2</v>
      </c>
      <c r="J217" t="s">
        <v>22</v>
      </c>
      <c r="K217" t="s">
        <v>17</v>
      </c>
      <c r="L217">
        <v>54</v>
      </c>
      <c r="M217" t="s">
        <v>48</v>
      </c>
      <c r="N217" t="s">
        <v>15</v>
      </c>
    </row>
    <row r="218" spans="1:14" x14ac:dyDescent="0.35">
      <c r="A218">
        <v>26663</v>
      </c>
      <c r="B218" t="s">
        <v>37</v>
      </c>
      <c r="C218" t="s">
        <v>38</v>
      </c>
      <c r="D218">
        <v>60000</v>
      </c>
      <c r="E218">
        <v>2</v>
      </c>
      <c r="F218" t="s">
        <v>13</v>
      </c>
      <c r="G218" t="s">
        <v>21</v>
      </c>
      <c r="H218" t="s">
        <v>18</v>
      </c>
      <c r="I218">
        <v>1</v>
      </c>
      <c r="J218" t="s">
        <v>16</v>
      </c>
      <c r="K218" t="s">
        <v>24</v>
      </c>
      <c r="L218">
        <v>39</v>
      </c>
      <c r="M218" t="s">
        <v>47</v>
      </c>
      <c r="N218" t="s">
        <v>15</v>
      </c>
    </row>
    <row r="219" spans="1:14" x14ac:dyDescent="0.35">
      <c r="A219">
        <v>21557</v>
      </c>
      <c r="B219" t="s">
        <v>37</v>
      </c>
      <c r="C219" t="s">
        <v>38</v>
      </c>
      <c r="D219">
        <v>110000</v>
      </c>
      <c r="E219">
        <v>0</v>
      </c>
      <c r="F219" t="s">
        <v>19</v>
      </c>
      <c r="G219" t="s">
        <v>28</v>
      </c>
      <c r="H219" t="s">
        <v>15</v>
      </c>
      <c r="I219">
        <v>3</v>
      </c>
      <c r="J219" t="s">
        <v>44</v>
      </c>
      <c r="K219" t="s">
        <v>24</v>
      </c>
      <c r="L219">
        <v>32</v>
      </c>
      <c r="M219" t="s">
        <v>47</v>
      </c>
      <c r="N219" t="s">
        <v>15</v>
      </c>
    </row>
    <row r="220" spans="1:14" x14ac:dyDescent="0.35">
      <c r="A220">
        <v>11378</v>
      </c>
      <c r="B220" t="s">
        <v>37</v>
      </c>
      <c r="C220" t="s">
        <v>38</v>
      </c>
      <c r="D220">
        <v>10000</v>
      </c>
      <c r="E220">
        <v>1</v>
      </c>
      <c r="F220" t="s">
        <v>27</v>
      </c>
      <c r="G220" t="s">
        <v>25</v>
      </c>
      <c r="H220" t="s">
        <v>18</v>
      </c>
      <c r="I220">
        <v>1</v>
      </c>
      <c r="J220" t="s">
        <v>22</v>
      </c>
      <c r="K220" t="s">
        <v>17</v>
      </c>
      <c r="L220">
        <v>46</v>
      </c>
      <c r="M220" t="s">
        <v>47</v>
      </c>
      <c r="N220" t="s">
        <v>15</v>
      </c>
    </row>
    <row r="221" spans="1:14" x14ac:dyDescent="0.35">
      <c r="A221">
        <v>20923</v>
      </c>
      <c r="B221" t="s">
        <v>36</v>
      </c>
      <c r="C221" t="s">
        <v>38</v>
      </c>
      <c r="D221">
        <v>40000</v>
      </c>
      <c r="E221">
        <v>1</v>
      </c>
      <c r="F221" t="s">
        <v>13</v>
      </c>
      <c r="G221" t="s">
        <v>14</v>
      </c>
      <c r="H221" t="s">
        <v>15</v>
      </c>
      <c r="I221">
        <v>0</v>
      </c>
      <c r="J221" t="s">
        <v>16</v>
      </c>
      <c r="K221" t="s">
        <v>17</v>
      </c>
      <c r="L221">
        <v>42</v>
      </c>
      <c r="M221" t="s">
        <v>47</v>
      </c>
      <c r="N221" t="s">
        <v>15</v>
      </c>
    </row>
    <row r="222" spans="1:14" x14ac:dyDescent="0.35">
      <c r="A222">
        <v>28319</v>
      </c>
      <c r="B222" t="s">
        <v>37</v>
      </c>
      <c r="C222" t="s">
        <v>38</v>
      </c>
      <c r="D222">
        <v>60000</v>
      </c>
      <c r="E222">
        <v>1</v>
      </c>
      <c r="F222" t="s">
        <v>19</v>
      </c>
      <c r="G222" t="s">
        <v>14</v>
      </c>
      <c r="H222" t="s">
        <v>18</v>
      </c>
      <c r="I222">
        <v>1</v>
      </c>
      <c r="J222" t="s">
        <v>16</v>
      </c>
      <c r="K222" t="s">
        <v>24</v>
      </c>
      <c r="L222">
        <v>46</v>
      </c>
      <c r="M222" t="s">
        <v>47</v>
      </c>
      <c r="N222" t="s">
        <v>15</v>
      </c>
    </row>
    <row r="223" spans="1:14" x14ac:dyDescent="0.35">
      <c r="A223">
        <v>24187</v>
      </c>
      <c r="B223" t="s">
        <v>37</v>
      </c>
      <c r="C223" t="s">
        <v>38</v>
      </c>
      <c r="D223">
        <v>30000</v>
      </c>
      <c r="E223">
        <v>3</v>
      </c>
      <c r="F223" t="s">
        <v>31</v>
      </c>
      <c r="G223" t="s">
        <v>20</v>
      </c>
      <c r="H223" t="s">
        <v>18</v>
      </c>
      <c r="I223">
        <v>0</v>
      </c>
      <c r="J223" t="s">
        <v>16</v>
      </c>
      <c r="K223" t="s">
        <v>17</v>
      </c>
      <c r="L223">
        <v>46</v>
      </c>
      <c r="M223" t="s">
        <v>47</v>
      </c>
      <c r="N223" t="s">
        <v>15</v>
      </c>
    </row>
    <row r="224" spans="1:14" x14ac:dyDescent="0.35">
      <c r="A224">
        <v>24201</v>
      </c>
      <c r="B224" t="s">
        <v>36</v>
      </c>
      <c r="C224" t="s">
        <v>38</v>
      </c>
      <c r="D224">
        <v>10000</v>
      </c>
      <c r="E224">
        <v>2</v>
      </c>
      <c r="F224" t="s">
        <v>27</v>
      </c>
      <c r="G224" t="s">
        <v>25</v>
      </c>
      <c r="H224" t="s">
        <v>15</v>
      </c>
      <c r="I224">
        <v>0</v>
      </c>
      <c r="J224" t="s">
        <v>16</v>
      </c>
      <c r="K224" t="s">
        <v>17</v>
      </c>
      <c r="L224">
        <v>37</v>
      </c>
      <c r="M224" t="s">
        <v>47</v>
      </c>
      <c r="N224" t="s">
        <v>15</v>
      </c>
    </row>
    <row r="225" spans="1:14" x14ac:dyDescent="0.35">
      <c r="A225">
        <v>26654</v>
      </c>
      <c r="B225" t="s">
        <v>36</v>
      </c>
      <c r="C225" t="s">
        <v>38</v>
      </c>
      <c r="D225">
        <v>90000</v>
      </c>
      <c r="E225">
        <v>1</v>
      </c>
      <c r="F225" t="s">
        <v>31</v>
      </c>
      <c r="G225" t="s">
        <v>28</v>
      </c>
      <c r="H225" t="s">
        <v>15</v>
      </c>
      <c r="I225">
        <v>0</v>
      </c>
      <c r="J225" t="s">
        <v>16</v>
      </c>
      <c r="K225" t="s">
        <v>24</v>
      </c>
      <c r="L225">
        <v>37</v>
      </c>
      <c r="M225" t="s">
        <v>47</v>
      </c>
      <c r="N225" t="s">
        <v>15</v>
      </c>
    </row>
    <row r="226" spans="1:14" x14ac:dyDescent="0.35">
      <c r="A226">
        <v>12284</v>
      </c>
      <c r="B226" t="s">
        <v>36</v>
      </c>
      <c r="C226" t="s">
        <v>38</v>
      </c>
      <c r="D226">
        <v>30000</v>
      </c>
      <c r="E226">
        <v>0</v>
      </c>
      <c r="F226" t="s">
        <v>13</v>
      </c>
      <c r="G226" t="s">
        <v>20</v>
      </c>
      <c r="H226" t="s">
        <v>18</v>
      </c>
      <c r="I226">
        <v>0</v>
      </c>
      <c r="J226" t="s">
        <v>16</v>
      </c>
      <c r="K226" t="s">
        <v>17</v>
      </c>
      <c r="L226">
        <v>36</v>
      </c>
      <c r="M226" t="s">
        <v>47</v>
      </c>
      <c r="N226" t="s">
        <v>15</v>
      </c>
    </row>
    <row r="227" spans="1:14" x14ac:dyDescent="0.35">
      <c r="A227">
        <v>12231</v>
      </c>
      <c r="B227" t="s">
        <v>37</v>
      </c>
      <c r="C227" t="s">
        <v>38</v>
      </c>
      <c r="D227">
        <v>10000</v>
      </c>
      <c r="E227">
        <v>2</v>
      </c>
      <c r="F227" t="s">
        <v>19</v>
      </c>
      <c r="G227" t="s">
        <v>25</v>
      </c>
      <c r="H227" t="s">
        <v>15</v>
      </c>
      <c r="I227">
        <v>0</v>
      </c>
      <c r="J227" t="s">
        <v>16</v>
      </c>
      <c r="K227" t="s">
        <v>17</v>
      </c>
      <c r="L227">
        <v>51</v>
      </c>
      <c r="M227" t="s">
        <v>47</v>
      </c>
      <c r="N227" t="s">
        <v>15</v>
      </c>
    </row>
    <row r="228" spans="1:14" x14ac:dyDescent="0.35">
      <c r="A228">
        <v>12833</v>
      </c>
      <c r="B228" t="s">
        <v>37</v>
      </c>
      <c r="C228" t="s">
        <v>38</v>
      </c>
      <c r="D228">
        <v>20000</v>
      </c>
      <c r="E228">
        <v>3</v>
      </c>
      <c r="F228" t="s">
        <v>27</v>
      </c>
      <c r="G228" t="s">
        <v>25</v>
      </c>
      <c r="H228" t="s">
        <v>15</v>
      </c>
      <c r="I228">
        <v>1</v>
      </c>
      <c r="J228" t="s">
        <v>16</v>
      </c>
      <c r="K228" t="s">
        <v>17</v>
      </c>
      <c r="L228">
        <v>42</v>
      </c>
      <c r="M228" t="s">
        <v>47</v>
      </c>
      <c r="N228" t="s">
        <v>15</v>
      </c>
    </row>
    <row r="229" spans="1:14" x14ac:dyDescent="0.35">
      <c r="A229">
        <v>21039</v>
      </c>
      <c r="B229" t="s">
        <v>37</v>
      </c>
      <c r="C229" t="s">
        <v>38</v>
      </c>
      <c r="D229">
        <v>50000</v>
      </c>
      <c r="E229">
        <v>0</v>
      </c>
      <c r="F229" t="s">
        <v>31</v>
      </c>
      <c r="G229" t="s">
        <v>14</v>
      </c>
      <c r="H229" t="s">
        <v>18</v>
      </c>
      <c r="I229">
        <v>0</v>
      </c>
      <c r="J229" t="s">
        <v>16</v>
      </c>
      <c r="K229" t="s">
        <v>17</v>
      </c>
      <c r="L229">
        <v>37</v>
      </c>
      <c r="M229" t="s">
        <v>47</v>
      </c>
      <c r="N229" t="s">
        <v>15</v>
      </c>
    </row>
    <row r="230" spans="1:14" x14ac:dyDescent="0.35">
      <c r="A230">
        <v>26219</v>
      </c>
      <c r="B230" t="s">
        <v>36</v>
      </c>
      <c r="C230" t="s">
        <v>38</v>
      </c>
      <c r="D230">
        <v>40000</v>
      </c>
      <c r="E230">
        <v>1</v>
      </c>
      <c r="F230" t="s">
        <v>13</v>
      </c>
      <c r="G230" t="s">
        <v>14</v>
      </c>
      <c r="H230" t="s">
        <v>15</v>
      </c>
      <c r="I230">
        <v>1</v>
      </c>
      <c r="J230" t="s">
        <v>26</v>
      </c>
      <c r="K230" t="s">
        <v>17</v>
      </c>
      <c r="L230">
        <v>33</v>
      </c>
      <c r="M230" t="s">
        <v>47</v>
      </c>
      <c r="N230" t="s">
        <v>15</v>
      </c>
    </row>
    <row r="231" spans="1:14" x14ac:dyDescent="0.35">
      <c r="A231">
        <v>14164</v>
      </c>
      <c r="B231" t="s">
        <v>37</v>
      </c>
      <c r="C231" t="s">
        <v>38</v>
      </c>
      <c r="D231">
        <v>50000</v>
      </c>
      <c r="E231">
        <v>0</v>
      </c>
      <c r="F231" t="s">
        <v>31</v>
      </c>
      <c r="G231" t="s">
        <v>14</v>
      </c>
      <c r="H231" t="s">
        <v>15</v>
      </c>
      <c r="I231">
        <v>0</v>
      </c>
      <c r="J231" t="s">
        <v>16</v>
      </c>
      <c r="K231" t="s">
        <v>17</v>
      </c>
      <c r="L231">
        <v>36</v>
      </c>
      <c r="M231" t="s">
        <v>47</v>
      </c>
      <c r="N231" t="s">
        <v>15</v>
      </c>
    </row>
    <row r="232" spans="1:14" x14ac:dyDescent="0.35">
      <c r="A232">
        <v>20839</v>
      </c>
      <c r="B232" t="s">
        <v>37</v>
      </c>
      <c r="C232" t="s">
        <v>38</v>
      </c>
      <c r="D232">
        <v>30000</v>
      </c>
      <c r="E232">
        <v>3</v>
      </c>
      <c r="F232" t="s">
        <v>31</v>
      </c>
      <c r="G232" t="s">
        <v>20</v>
      </c>
      <c r="H232" t="s">
        <v>15</v>
      </c>
      <c r="I232">
        <v>0</v>
      </c>
      <c r="J232" t="s">
        <v>16</v>
      </c>
      <c r="K232" t="s">
        <v>17</v>
      </c>
      <c r="L232">
        <v>47</v>
      </c>
      <c r="M232" t="s">
        <v>47</v>
      </c>
      <c r="N232" t="s">
        <v>15</v>
      </c>
    </row>
    <row r="233" spans="1:14" x14ac:dyDescent="0.35">
      <c r="A233">
        <v>14777</v>
      </c>
      <c r="B233" t="s">
        <v>36</v>
      </c>
      <c r="C233" t="s">
        <v>38</v>
      </c>
      <c r="D233">
        <v>40000</v>
      </c>
      <c r="E233">
        <v>0</v>
      </c>
      <c r="F233" t="s">
        <v>13</v>
      </c>
      <c r="G233" t="s">
        <v>20</v>
      </c>
      <c r="H233" t="s">
        <v>15</v>
      </c>
      <c r="I233">
        <v>0</v>
      </c>
      <c r="J233" t="s">
        <v>16</v>
      </c>
      <c r="K233" t="s">
        <v>17</v>
      </c>
      <c r="L233">
        <v>38</v>
      </c>
      <c r="M233" t="s">
        <v>47</v>
      </c>
      <c r="N233" t="s">
        <v>15</v>
      </c>
    </row>
    <row r="234" spans="1:14" x14ac:dyDescent="0.35">
      <c r="A234">
        <v>21568</v>
      </c>
      <c r="B234" t="s">
        <v>36</v>
      </c>
      <c r="C234" t="s">
        <v>38</v>
      </c>
      <c r="D234">
        <v>100000</v>
      </c>
      <c r="E234">
        <v>0</v>
      </c>
      <c r="F234" t="s">
        <v>27</v>
      </c>
      <c r="G234" t="s">
        <v>28</v>
      </c>
      <c r="H234" t="s">
        <v>15</v>
      </c>
      <c r="I234">
        <v>4</v>
      </c>
      <c r="J234" t="s">
        <v>44</v>
      </c>
      <c r="K234" t="s">
        <v>24</v>
      </c>
      <c r="L234">
        <v>34</v>
      </c>
      <c r="M234" t="s">
        <v>47</v>
      </c>
      <c r="N234" t="s">
        <v>15</v>
      </c>
    </row>
    <row r="235" spans="1:14" x14ac:dyDescent="0.35">
      <c r="A235">
        <v>11249</v>
      </c>
      <c r="B235" t="s">
        <v>36</v>
      </c>
      <c r="C235" t="s">
        <v>38</v>
      </c>
      <c r="D235">
        <v>130000</v>
      </c>
      <c r="E235">
        <v>3</v>
      </c>
      <c r="F235" t="s">
        <v>19</v>
      </c>
      <c r="G235" t="s">
        <v>21</v>
      </c>
      <c r="H235" t="s">
        <v>15</v>
      </c>
      <c r="I235">
        <v>3</v>
      </c>
      <c r="J235" t="s">
        <v>16</v>
      </c>
      <c r="K235" t="s">
        <v>17</v>
      </c>
      <c r="L235">
        <v>51</v>
      </c>
      <c r="M235" t="s">
        <v>47</v>
      </c>
      <c r="N235" t="s">
        <v>15</v>
      </c>
    </row>
    <row r="236" spans="1:14" x14ac:dyDescent="0.35">
      <c r="A236">
        <v>19057</v>
      </c>
      <c r="B236" t="s">
        <v>36</v>
      </c>
      <c r="C236" t="s">
        <v>38</v>
      </c>
      <c r="D236">
        <v>120000</v>
      </c>
      <c r="E236">
        <v>3</v>
      </c>
      <c r="F236" t="s">
        <v>13</v>
      </c>
      <c r="G236" t="s">
        <v>28</v>
      </c>
      <c r="H236" t="s">
        <v>18</v>
      </c>
      <c r="I236">
        <v>2</v>
      </c>
      <c r="J236" t="s">
        <v>44</v>
      </c>
      <c r="K236" t="s">
        <v>17</v>
      </c>
      <c r="L236">
        <v>52</v>
      </c>
      <c r="M236" t="s">
        <v>47</v>
      </c>
      <c r="N236" t="s">
        <v>15</v>
      </c>
    </row>
    <row r="237" spans="1:14" x14ac:dyDescent="0.35">
      <c r="A237">
        <v>11340</v>
      </c>
      <c r="B237" t="s">
        <v>36</v>
      </c>
      <c r="C237" t="s">
        <v>38</v>
      </c>
      <c r="D237">
        <v>10000</v>
      </c>
      <c r="E237">
        <v>1</v>
      </c>
      <c r="F237" t="s">
        <v>31</v>
      </c>
      <c r="G237" t="s">
        <v>20</v>
      </c>
      <c r="H237" t="s">
        <v>15</v>
      </c>
      <c r="I237">
        <v>0</v>
      </c>
      <c r="J237" t="s">
        <v>16</v>
      </c>
      <c r="K237" t="s">
        <v>17</v>
      </c>
      <c r="L237">
        <v>70</v>
      </c>
      <c r="M237" t="s">
        <v>48</v>
      </c>
      <c r="N237" t="s">
        <v>15</v>
      </c>
    </row>
    <row r="238" spans="1:14" x14ac:dyDescent="0.35">
      <c r="A238">
        <v>25693</v>
      </c>
      <c r="B238" t="s">
        <v>37</v>
      </c>
      <c r="C238" t="s">
        <v>38</v>
      </c>
      <c r="D238">
        <v>30000</v>
      </c>
      <c r="E238">
        <v>5</v>
      </c>
      <c r="F238" t="s">
        <v>31</v>
      </c>
      <c r="G238" t="s">
        <v>20</v>
      </c>
      <c r="H238" t="s">
        <v>15</v>
      </c>
      <c r="I238">
        <v>0</v>
      </c>
      <c r="J238" t="s">
        <v>16</v>
      </c>
      <c r="K238" t="s">
        <v>17</v>
      </c>
      <c r="L238">
        <v>44</v>
      </c>
      <c r="M238" t="s">
        <v>47</v>
      </c>
      <c r="N238" t="s">
        <v>15</v>
      </c>
    </row>
    <row r="239" spans="1:14" x14ac:dyDescent="0.35">
      <c r="A239">
        <v>25555</v>
      </c>
      <c r="B239" t="s">
        <v>36</v>
      </c>
      <c r="C239" t="s">
        <v>38</v>
      </c>
      <c r="D239">
        <v>10000</v>
      </c>
      <c r="E239">
        <v>0</v>
      </c>
      <c r="F239" t="s">
        <v>19</v>
      </c>
      <c r="G239" t="s">
        <v>25</v>
      </c>
      <c r="H239" t="s">
        <v>18</v>
      </c>
      <c r="I239">
        <v>1</v>
      </c>
      <c r="J239" t="s">
        <v>16</v>
      </c>
      <c r="K239" t="s">
        <v>24</v>
      </c>
      <c r="L239">
        <v>26</v>
      </c>
      <c r="M239" t="s">
        <v>46</v>
      </c>
      <c r="N239" t="s">
        <v>15</v>
      </c>
    </row>
    <row r="240" spans="1:14" x14ac:dyDescent="0.35">
      <c r="A240">
        <v>20060</v>
      </c>
      <c r="B240" t="s">
        <v>37</v>
      </c>
      <c r="C240" t="s">
        <v>38</v>
      </c>
      <c r="D240">
        <v>30000</v>
      </c>
      <c r="E240">
        <v>0</v>
      </c>
      <c r="F240" t="s">
        <v>27</v>
      </c>
      <c r="G240" t="s">
        <v>25</v>
      </c>
      <c r="H240" t="s">
        <v>18</v>
      </c>
      <c r="I240">
        <v>1</v>
      </c>
      <c r="J240" t="s">
        <v>22</v>
      </c>
      <c r="K240" t="s">
        <v>17</v>
      </c>
      <c r="L240">
        <v>34</v>
      </c>
      <c r="M240" t="s">
        <v>47</v>
      </c>
      <c r="N240"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selection activeCell="D3" sqref="D3:D5"/>
    </sheetView>
  </sheetViews>
  <sheetFormatPr defaultRowHeight="14.5" x14ac:dyDescent="0.35"/>
  <cols>
    <col min="1" max="1" width="21.54296875" customWidth="1"/>
    <col min="2" max="2" width="15.26953125" customWidth="1"/>
    <col min="3" max="3" width="3.81640625" customWidth="1"/>
    <col min="4" max="4" width="10.7265625" bestFit="1" customWidth="1"/>
  </cols>
  <sheetData>
    <row r="1" spans="1:4" x14ac:dyDescent="0.35">
      <c r="A1" s="6" t="s">
        <v>43</v>
      </c>
      <c r="B1" s="6" t="s">
        <v>41</v>
      </c>
    </row>
    <row r="2" spans="1:4" x14ac:dyDescent="0.35">
      <c r="A2" s="6" t="s">
        <v>2</v>
      </c>
      <c r="B2" t="s">
        <v>18</v>
      </c>
      <c r="C2" t="s">
        <v>15</v>
      </c>
      <c r="D2" t="s">
        <v>42</v>
      </c>
    </row>
    <row r="3" spans="1:4" x14ac:dyDescent="0.35">
      <c r="A3" s="7" t="s">
        <v>38</v>
      </c>
      <c r="B3" s="11">
        <v>53440</v>
      </c>
      <c r="C3" s="11">
        <v>55774.058577405856</v>
      </c>
      <c r="D3" s="11">
        <v>54580.777096114522</v>
      </c>
    </row>
    <row r="4" spans="1:4" x14ac:dyDescent="0.35">
      <c r="A4" s="7" t="s">
        <v>39</v>
      </c>
      <c r="B4" s="11">
        <v>56208.178438661707</v>
      </c>
      <c r="C4" s="11">
        <v>60123.966942148763</v>
      </c>
      <c r="D4" s="11">
        <v>58062.62230919765</v>
      </c>
    </row>
    <row r="5" spans="1:4" x14ac:dyDescent="0.35">
      <c r="A5" s="7" t="s">
        <v>42</v>
      </c>
      <c r="B5" s="11">
        <v>54874.759152215796</v>
      </c>
      <c r="C5" s="11">
        <v>57962.577962577961</v>
      </c>
      <c r="D5" s="11">
        <v>56360</v>
      </c>
    </row>
    <row r="19" spans="1:4" x14ac:dyDescent="0.35">
      <c r="A19" s="6" t="s">
        <v>45</v>
      </c>
      <c r="B19" s="6" t="s">
        <v>41</v>
      </c>
    </row>
    <row r="20" spans="1:4" x14ac:dyDescent="0.35">
      <c r="A20" s="6" t="s">
        <v>9</v>
      </c>
      <c r="B20" t="s">
        <v>18</v>
      </c>
      <c r="C20" t="s">
        <v>15</v>
      </c>
      <c r="D20" t="s">
        <v>42</v>
      </c>
    </row>
    <row r="21" spans="1:4" x14ac:dyDescent="0.35">
      <c r="A21" s="7" t="s">
        <v>16</v>
      </c>
      <c r="B21" s="8">
        <v>166</v>
      </c>
      <c r="C21" s="8">
        <v>200</v>
      </c>
      <c r="D21" s="8">
        <v>366</v>
      </c>
    </row>
    <row r="22" spans="1:4" x14ac:dyDescent="0.35">
      <c r="A22" s="7" t="s">
        <v>26</v>
      </c>
      <c r="B22" s="8">
        <v>92</v>
      </c>
      <c r="C22" s="8">
        <v>77</v>
      </c>
      <c r="D22" s="8">
        <v>169</v>
      </c>
    </row>
    <row r="23" spans="1:4" x14ac:dyDescent="0.35">
      <c r="A23" s="7" t="s">
        <v>22</v>
      </c>
      <c r="B23" s="8">
        <v>67</v>
      </c>
      <c r="C23" s="8">
        <v>95</v>
      </c>
      <c r="D23" s="8">
        <v>162</v>
      </c>
    </row>
    <row r="24" spans="1:4" x14ac:dyDescent="0.35">
      <c r="A24" s="7" t="s">
        <v>23</v>
      </c>
      <c r="B24" s="8">
        <v>116</v>
      </c>
      <c r="C24" s="8">
        <v>76</v>
      </c>
      <c r="D24" s="8">
        <v>192</v>
      </c>
    </row>
    <row r="25" spans="1:4" x14ac:dyDescent="0.35">
      <c r="A25" s="7" t="s">
        <v>44</v>
      </c>
      <c r="B25" s="8">
        <v>78</v>
      </c>
      <c r="C25" s="8">
        <v>33</v>
      </c>
      <c r="D25" s="8">
        <v>111</v>
      </c>
    </row>
    <row r="26" spans="1:4" x14ac:dyDescent="0.35">
      <c r="A26" s="7" t="s">
        <v>42</v>
      </c>
      <c r="B26" s="8">
        <v>519</v>
      </c>
      <c r="C26" s="8">
        <v>481</v>
      </c>
      <c r="D26" s="8">
        <v>1000</v>
      </c>
    </row>
    <row r="36" spans="1:4" x14ac:dyDescent="0.35">
      <c r="A36" s="6" t="s">
        <v>45</v>
      </c>
      <c r="B36" s="6" t="s">
        <v>41</v>
      </c>
    </row>
    <row r="37" spans="1:4" x14ac:dyDescent="0.35">
      <c r="A37" s="6" t="s">
        <v>49</v>
      </c>
      <c r="B37" t="s">
        <v>18</v>
      </c>
      <c r="C37" t="s">
        <v>15</v>
      </c>
      <c r="D37" t="s">
        <v>42</v>
      </c>
    </row>
    <row r="38" spans="1:4" x14ac:dyDescent="0.35">
      <c r="A38" s="7" t="s">
        <v>46</v>
      </c>
      <c r="B38" s="8">
        <v>88</v>
      </c>
      <c r="C38" s="8">
        <v>47</v>
      </c>
      <c r="D38" s="8">
        <v>135</v>
      </c>
    </row>
    <row r="39" spans="1:4" x14ac:dyDescent="0.35">
      <c r="A39" s="7" t="s">
        <v>47</v>
      </c>
      <c r="B39" s="8">
        <v>296</v>
      </c>
      <c r="C39" s="8">
        <v>364</v>
      </c>
      <c r="D39" s="8">
        <v>660</v>
      </c>
    </row>
    <row r="40" spans="1:4" x14ac:dyDescent="0.35">
      <c r="A40" s="7" t="s">
        <v>48</v>
      </c>
      <c r="B40" s="8">
        <v>135</v>
      </c>
      <c r="C40" s="8">
        <v>70</v>
      </c>
      <c r="D40" s="8">
        <v>205</v>
      </c>
    </row>
    <row r="41" spans="1:4" x14ac:dyDescent="0.35">
      <c r="A41" s="7" t="s">
        <v>42</v>
      </c>
      <c r="B41" s="8">
        <v>519</v>
      </c>
      <c r="C41" s="8">
        <v>481</v>
      </c>
      <c r="D41" s="8">
        <v>1000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showGridLines="0" tabSelected="1" zoomScale="80" zoomScaleNormal="70" workbookViewId="0">
      <selection activeCell="O7" sqref="O7"/>
    </sheetView>
  </sheetViews>
  <sheetFormatPr defaultRowHeight="14.5" x14ac:dyDescent="0.35"/>
  <cols>
    <col min="1" max="16384" width="8.7265625" style="9"/>
  </cols>
  <sheetData>
    <row r="1" spans="1:13" x14ac:dyDescent="0.35">
      <c r="A1" s="12" t="s">
        <v>51</v>
      </c>
      <c r="B1" s="10"/>
      <c r="C1" s="10"/>
      <c r="D1" s="10"/>
      <c r="E1" s="10"/>
      <c r="F1" s="10"/>
      <c r="G1" s="10"/>
      <c r="H1" s="10"/>
      <c r="I1" s="10"/>
      <c r="J1" s="10"/>
      <c r="K1" s="10"/>
      <c r="L1" s="10"/>
      <c r="M1" s="10"/>
    </row>
    <row r="2" spans="1:13" x14ac:dyDescent="0.35">
      <c r="A2" s="10"/>
      <c r="B2" s="10"/>
      <c r="C2" s="10"/>
      <c r="D2" s="10"/>
      <c r="E2" s="10"/>
      <c r="F2" s="10"/>
      <c r="G2" s="10"/>
      <c r="H2" s="10"/>
      <c r="I2" s="10"/>
      <c r="J2" s="10"/>
      <c r="K2" s="10"/>
      <c r="L2" s="10"/>
      <c r="M2" s="10"/>
    </row>
    <row r="3" spans="1:13" x14ac:dyDescent="0.35">
      <c r="A3" s="10"/>
      <c r="B3" s="10"/>
      <c r="C3" s="10"/>
      <c r="D3" s="10"/>
      <c r="E3" s="10"/>
      <c r="F3" s="10"/>
      <c r="G3" s="10"/>
      <c r="H3" s="10"/>
      <c r="I3" s="10"/>
      <c r="J3" s="10"/>
      <c r="K3" s="10"/>
      <c r="L3" s="10"/>
      <c r="M3" s="10"/>
    </row>
    <row r="4" spans="1:13" x14ac:dyDescent="0.35">
      <c r="A4" s="10"/>
      <c r="B4" s="10"/>
      <c r="C4" s="10"/>
      <c r="D4" s="10"/>
      <c r="E4" s="10"/>
      <c r="F4" s="10"/>
      <c r="G4" s="10"/>
      <c r="H4" s="10"/>
      <c r="I4" s="10"/>
      <c r="J4" s="10"/>
      <c r="K4" s="10"/>
      <c r="L4" s="10"/>
      <c r="M4" s="10"/>
    </row>
    <row r="5" spans="1:13" x14ac:dyDescent="0.35">
      <c r="A5" s="10"/>
      <c r="B5" s="10"/>
      <c r="C5" s="10"/>
      <c r="D5" s="10"/>
      <c r="E5" s="10"/>
      <c r="F5" s="10"/>
      <c r="G5" s="10"/>
      <c r="H5" s="10"/>
      <c r="I5" s="10"/>
      <c r="J5" s="10"/>
      <c r="K5" s="10"/>
      <c r="L5" s="10"/>
      <c r="M5" s="10"/>
    </row>
    <row r="6" spans="1:13" x14ac:dyDescent="0.35">
      <c r="A6" s="10"/>
      <c r="B6" s="10"/>
      <c r="C6" s="10"/>
      <c r="D6" s="10"/>
      <c r="E6" s="10"/>
      <c r="F6" s="10"/>
      <c r="G6" s="10"/>
      <c r="H6" s="10"/>
      <c r="I6" s="10"/>
      <c r="J6" s="10"/>
      <c r="K6" s="10"/>
      <c r="L6" s="10"/>
      <c r="M6" s="10"/>
    </row>
  </sheetData>
  <mergeCells count="1">
    <mergeCell ref="A1: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Sheet1</vt:lpstr>
      <vt:lpstr>Sheet2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2026-03-15T19:54:39Z</dcterms:modified>
</cp:coreProperties>
</file>